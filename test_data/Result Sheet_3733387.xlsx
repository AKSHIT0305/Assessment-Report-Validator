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heet" sheetId="1" state="visible" r:id="rId3"/>
    <sheet name="Batch Analysis - Tabular" sheetId="2" state="visible" r:id="rId4"/>
    <sheet name="Batch Analysis - Graph" sheetId="3" state="visible" r:id="rId5"/>
  </sheets>
  <definedNames>
    <definedName function="false" hidden="false" localSheetId="0" name="_xlnm._FilterDatabase" vbProcedure="false">score_sheet!$A$13:$R$43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<sst xmlns="http://schemas.openxmlformats.org/spreadsheetml/2006/main" count="228" uniqueCount="145">
  <si>
    <t xml:space="preserve">Assessment Agency Name</t>
  </si>
  <si>
    <t xml:space="preserve">Ginger Webs Pvt. Ltd.</t>
  </si>
  <si>
    <t xml:space="preserve">Training Provider Name</t>
  </si>
  <si>
    <t xml:space="preserve">MAHENDRA SKILLS TRAINING &amp; DEVELOPMENT PRIVATE LIMITED</t>
  </si>
  <si>
    <t xml:space="preserve">Qualification Pack Name/Job Role</t>
  </si>
  <si>
    <t xml:space="preserve">Digital Mitra</t>
  </si>
  <si>
    <t xml:space="preserve">Qualification Code</t>
  </si>
  <si>
    <t xml:space="preserve">SSC/Q2212</t>
  </si>
  <si>
    <t xml:space="preserve">Assessor Name/AR ID</t>
  </si>
  <si>
    <t xml:space="preserve">A-002321 &amp; Amit Kumar Singh</t>
  </si>
  <si>
    <t xml:space="preserve">Scheme Name</t>
  </si>
  <si>
    <t xml:space="preserve">TPA</t>
  </si>
  <si>
    <t xml:space="preserve">State</t>
  </si>
  <si>
    <t xml:space="preserve">Jharkhand</t>
  </si>
  <si>
    <t xml:space="preserve">City</t>
  </si>
  <si>
    <t xml:space="preserve">DHANBAD</t>
  </si>
  <si>
    <t xml:space="preserve">Center ID</t>
  </si>
  <si>
    <t xml:space="preserve">NA</t>
  </si>
  <si>
    <t xml:space="preserve">Batch ID</t>
  </si>
  <si>
    <t xml:space="preserve">Trainee Name</t>
  </si>
  <si>
    <t xml:space="preserve">Candidate ID</t>
  </si>
  <si>
    <t xml:space="preserve">Gender</t>
  </si>
  <si>
    <t xml:space="preserve">Assessment Date</t>
  </si>
  <si>
    <t xml:space="preserve">SSC/N2204 - Score</t>
  </si>
  <si>
    <t xml:space="preserve">Pass/Fail</t>
  </si>
  <si>
    <t xml:space="preserve">SSC/N2205 -Score</t>
  </si>
  <si>
    <t xml:space="preserve">SSC/N2206 - Score</t>
  </si>
  <si>
    <t xml:space="preserve">SSC/N2207 - Score</t>
  </si>
  <si>
    <t xml:space="preserve">DGT/VSQ/N0101 -Score</t>
  </si>
  <si>
    <t xml:space="preserve">Total</t>
  </si>
  <si>
    <t xml:space="preserve">Result of QP (Pass/Fail)</t>
  </si>
  <si>
    <t xml:space="preserve">Overall %</t>
  </si>
  <si>
    <t xml:space="preserve">Md Tohid Ansari</t>
  </si>
  <si>
    <t xml:space="preserve">CAN_39880320</t>
  </si>
  <si>
    <t xml:space="preserve">M</t>
  </si>
  <si>
    <t xml:space="preserve">Md Sahil Ansari</t>
  </si>
  <si>
    <t xml:space="preserve">CAN_39852637</t>
  </si>
  <si>
    <t xml:space="preserve">Mahtab Alam</t>
  </si>
  <si>
    <t xml:space="preserve">CAN_39844381</t>
  </si>
  <si>
    <t xml:space="preserve">Indrajeet Hembram</t>
  </si>
  <si>
    <t xml:space="preserve">CAN_39822570</t>
  </si>
  <si>
    <t xml:space="preserve">Lochan Mandal</t>
  </si>
  <si>
    <t xml:space="preserve">CAN_39815917</t>
  </si>
  <si>
    <t xml:space="preserve">Payal Kumari Gope</t>
  </si>
  <si>
    <t xml:space="preserve">CAN_39815839</t>
  </si>
  <si>
    <t xml:space="preserve">F</t>
  </si>
  <si>
    <t xml:space="preserve">Ruhul Phatima</t>
  </si>
  <si>
    <t xml:space="preserve">CAN_39815376</t>
  </si>
  <si>
    <t xml:space="preserve">Upasna Kumari Shukla</t>
  </si>
  <si>
    <t xml:space="preserve">CAN_39815137</t>
  </si>
  <si>
    <t xml:space="preserve">Saloni Kumari Singh</t>
  </si>
  <si>
    <t xml:space="preserve">CAN_39810160</t>
  </si>
  <si>
    <t xml:space="preserve">Naresh Murmu</t>
  </si>
  <si>
    <t xml:space="preserve">CAN_39808871</t>
  </si>
  <si>
    <t xml:space="preserve">Jasmin Parween</t>
  </si>
  <si>
    <t xml:space="preserve">CAN_39807883</t>
  </si>
  <si>
    <t xml:space="preserve">Abdul Rehan Ansari</t>
  </si>
  <si>
    <t xml:space="preserve">CAN_39807143</t>
  </si>
  <si>
    <t xml:space="preserve">Md Rehan</t>
  </si>
  <si>
    <t xml:space="preserve">CAN_39807095</t>
  </si>
  <si>
    <t xml:space="preserve">Rohit Kumar Yadav</t>
  </si>
  <si>
    <t xml:space="preserve">CAN_39806999</t>
  </si>
  <si>
    <t xml:space="preserve">Md Shahanbaz Alam</t>
  </si>
  <si>
    <t xml:space="preserve">CAN_39806671</t>
  </si>
  <si>
    <t xml:space="preserve">Arti Kumari</t>
  </si>
  <si>
    <t xml:space="preserve">CAN_39806593</t>
  </si>
  <si>
    <t xml:space="preserve">Prem Kumar Vishwakarma</t>
  </si>
  <si>
    <t xml:space="preserve">CAN_39806301</t>
  </si>
  <si>
    <t xml:space="preserve">Meraj Ansari</t>
  </si>
  <si>
    <t xml:space="preserve">CAN_39806269</t>
  </si>
  <si>
    <t xml:space="preserve">Raj Kumar Mahato</t>
  </si>
  <si>
    <t xml:space="preserve">CAN_39803684</t>
  </si>
  <si>
    <t xml:space="preserve">Sahul Kumar Murmu</t>
  </si>
  <si>
    <t xml:space="preserve">CAN_39802582</t>
  </si>
  <si>
    <t xml:space="preserve">Suraj Mandal</t>
  </si>
  <si>
    <t xml:space="preserve">CAN_39802467</t>
  </si>
  <si>
    <t xml:space="preserve">Sonu Kumar</t>
  </si>
  <si>
    <t xml:space="preserve">CAN_39802398</t>
  </si>
  <si>
    <t xml:space="preserve">Shakti Kumar Mahato</t>
  </si>
  <si>
    <t xml:space="preserve">CAN_39802326</t>
  </si>
  <si>
    <t xml:space="preserve">Md Faiyaj Alam</t>
  </si>
  <si>
    <t xml:space="preserve">CAN_39802017</t>
  </si>
  <si>
    <t xml:space="preserve">Sohel Ansari</t>
  </si>
  <si>
    <t xml:space="preserve">CAN_39801107</t>
  </si>
  <si>
    <t xml:space="preserve">Chandan Yadav</t>
  </si>
  <si>
    <t xml:space="preserve">CAN_39799567</t>
  </si>
  <si>
    <t xml:space="preserve">Bishal Baski</t>
  </si>
  <si>
    <t xml:space="preserve">CAN_39799449</t>
  </si>
  <si>
    <t xml:space="preserve">Sarfaraz Ahmad</t>
  </si>
  <si>
    <t xml:space="preserve">CAN_39799290</t>
  </si>
  <si>
    <t xml:space="preserve">Rohit Kumar</t>
  </si>
  <si>
    <t xml:space="preserve">CAN_39799126</t>
  </si>
  <si>
    <t xml:space="preserve">Sibani Kumari</t>
  </si>
  <si>
    <t xml:space="preserve">CAN_39798761</t>
  </si>
  <si>
    <t xml:space="preserve">Descriptive Analysis for the Batch </t>
  </si>
  <si>
    <t xml:space="preserve">BATCH SUMMARY</t>
  </si>
  <si>
    <t xml:space="preserve">Batch Id</t>
  </si>
  <si>
    <t xml:space="preserve">Scheme of Assessment</t>
  </si>
  <si>
    <t xml:space="preserve">Pass Criteria </t>
  </si>
  <si>
    <t xml:space="preserve">QP / Job role</t>
  </si>
  <si>
    <t xml:space="preserve">QP Result</t>
  </si>
  <si>
    <t xml:space="preserve">Gender Wise Analysis</t>
  </si>
  <si>
    <t xml:space="preserve">Male</t>
  </si>
  <si>
    <t xml:space="preserve">Female</t>
  </si>
  <si>
    <t xml:space="preserve">Enrolled</t>
  </si>
  <si>
    <t xml:space="preserve">Appeared</t>
  </si>
  <si>
    <t xml:space="preserve">Passed</t>
  </si>
  <si>
    <t xml:space="preserve">NOS SUMMARY</t>
  </si>
  <si>
    <t xml:space="preserve"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</si>
  <si>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</si>
  <si>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</si>
  <si>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</si>
  <si>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</si>
  <si>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</si>
  <si>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 xml:space="preserve">SSC/N2204</t>
  </si>
  <si>
    <t xml:space="preserve">SSC/N2205</t>
  </si>
  <si>
    <t xml:space="preserve">SSC/N2206</t>
  </si>
  <si>
    <t xml:space="preserve">SSC/N2207</t>
  </si>
  <si>
    <t xml:space="preserve">DGT/VSQ/N0101</t>
  </si>
  <si>
    <t xml:space="preserve">WEAK PCs (AVERAGE SCORE LESS THAN 50%)</t>
  </si>
  <si>
    <t xml:space="preserve">PC14</t>
  </si>
  <si>
    <t xml:space="preserve">PC20</t>
  </si>
  <si>
    <t xml:space="preserve">PC23</t>
  </si>
  <si>
    <t xml:space="preserve">PC27</t>
  </si>
  <si>
    <t xml:space="preserve">PC19</t>
  </si>
  <si>
    <t xml:space="preserve">PC24</t>
  </si>
  <si>
    <t xml:space="preserve">PC1</t>
  </si>
  <si>
    <t xml:space="preserve">PC6</t>
  </si>
  <si>
    <t xml:space="preserve">PC10</t>
  </si>
  <si>
    <t xml:space="preserve">PC12</t>
  </si>
  <si>
    <t xml:space="preserve">PC15</t>
  </si>
  <si>
    <t xml:space="preserve">PC18</t>
  </si>
  <si>
    <t xml:space="preserve">PC7</t>
  </si>
  <si>
    <t xml:space="preserve">PC11</t>
  </si>
  <si>
    <t xml:space="preserve">PC4</t>
  </si>
  <si>
    <t xml:space="preserve">PC16</t>
  </si>
  <si>
    <t xml:space="preserve">PC22</t>
  </si>
  <si>
    <t xml:space="preserve">PC2</t>
  </si>
  <si>
    <t xml:space="preserve">PC5</t>
  </si>
  <si>
    <t xml:space="preserve">PC8</t>
  </si>
  <si>
    <t xml:space="preserve">Moderately weak PCs (AVERAGE SCORE BETWEEN 50-70%)</t>
  </si>
  <si>
    <t xml:space="preserve">STRONG PCs (AVERAGE SCORE MORE THAN 70%)</t>
  </si>
  <si>
    <t xml:space="preserve">PC3</t>
  </si>
  <si>
    <t xml:space="preserve">PC21</t>
  </si>
  <si>
    <t xml:space="preserve">PC9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</si>
</sst>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General"/>
    <numFmt numFmtId="167" formatCode="0.00"/>
    <numFmt numFmtId="168" formatCode="0%"/>
    <numFmt numFmtId="169" formatCode="[$-409]dd\-mmm\-yy;@"/>
    <numFmt numFmtId="170" formatCode="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Tabular'!$C$8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Tabular'!$C$9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Tabular'!$C$10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</c:ser>
        <c:gapWidth val="219"/>
        <c:overlap val="-27"/>
        <c:axId val="73199272"/>
        <c:axId val="68570038"/>
      </c:barChart>
      <c:catAx>
        <c:axId val="73199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</a:p>
        </c:txPr>
        <c:crossAx val="68570038"/>
        <c:auto val="1"/>
        <c:lblAlgn val="ctr"/>
        <c:lblOffset val="100"/>
        <c:noMultiLvlLbl val="0"/>
      </c:catAx>
      <c:valAx>
        <c:axId val="68570038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31992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8423106947697"/>
          <c:y val="0.128458745461375"/>
          <c:w val="0.905201014832162"/>
          <c:h val="0.551896832352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Tabular'!$B$13:$B$17</c:f>
              <c:numCache>
                <c:formatCode>General</c:formatCode>
                <c:ptCount val="5"/>
                <c:pt idx="0">
                  <c:v>96.6666666666667</c:v>
                </c:pt>
                <c:pt idx="1">
                  <c:v>96.6666666666667</c:v>
                </c:pt>
                <c:pt idx="2">
                  <c:v>96.6666666666667</c:v>
                </c:pt>
                <c:pt idx="3">
                  <c:v>96.6666666666667</c:v>
                </c:pt>
                <c:pt idx="4">
                  <c:v>96.6666666666667</c:v>
                </c:pt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Tabular'!$C$13:$C$17</c:f>
              <c:numCache>
                <c:formatCode>General</c:formatCode>
                <c:ptCount val="5"/>
                <c:pt idx="0">
                  <c:v>67.19</c:v>
                </c:pt>
                <c:pt idx="1">
                  <c:v>63.6733333333333</c:v>
                </c:pt>
                <c:pt idx="2">
                  <c:v>67.6</c:v>
                </c:pt>
                <c:pt idx="3">
                  <c:v>63.1266666666667</c:v>
                </c:pt>
                <c:pt idx="4">
                  <c:v>30.5666666666667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Tabular'!$D$13:$D$17</c:f>
              <c:numCache>
                <c:formatCode>General</c:formatCode>
                <c:ptCount val="5"/>
                <c:pt idx="0">
                  <c:v>29.6</c:v>
                </c:pt>
                <c:pt idx="1">
                  <c:v>29.1</c:v>
                </c:pt>
                <c:pt idx="2">
                  <c:v>32.9</c:v>
                </c:pt>
                <c:pt idx="3">
                  <c:v>34.8</c:v>
                </c:pt>
                <c:pt idx="4">
                  <c:v>8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0.00" sourceLinked="1"/>
            <c:dLbl>
              <c:idx val="0"/>
              <c:numFmt formatCode="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Tabular'!$E$13:$E$17</c:f>
              <c:numCache>
                <c:formatCode>General</c:formatCode>
                <c:ptCount val="5"/>
                <c:pt idx="0">
                  <c:v>79</c:v>
                </c:pt>
                <c:pt idx="1">
                  <c:v>75.7</c:v>
                </c:pt>
                <c:pt idx="2">
                  <c:v>97</c:v>
                </c:pt>
                <c:pt idx="3">
                  <c:v>90</c:v>
                </c:pt>
                <c:pt idx="4">
                  <c:v>45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Tabular'!$F$13:$F$17</c:f>
              <c:numCache>
                <c:formatCode>General</c:formatCode>
                <c:ptCount val="5"/>
                <c:pt idx="0">
                  <c:v>68.8</c:v>
                </c:pt>
                <c:pt idx="1">
                  <c:v>65.85</c:v>
                </c:pt>
                <c:pt idx="2">
                  <c:v>66.75</c:v>
                </c:pt>
                <c:pt idx="3">
                  <c:v>65</c:v>
                </c:pt>
                <c:pt idx="4">
                  <c:v>33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Tabular'!$G$13:$G$17</c:f>
              <c:numCache>
                <c:formatCode>General</c:formatCode>
                <c:ptCount val="5"/>
                <c:pt idx="0">
                  <c:v>9.04165729646212</c:v>
                </c:pt>
                <c:pt idx="1">
                  <c:v>8.69060540021363</c:v>
                </c:pt>
                <c:pt idx="2">
                  <c:v>9.8022786466549</c:v>
                </c:pt>
                <c:pt idx="3">
                  <c:v>9.93280535509592</c:v>
                </c:pt>
                <c:pt idx="4">
                  <c:v>6.64672016026618</c:v>
                </c:pt>
              </c:numCache>
            </c:numRef>
          </c:val>
        </c:ser>
        <c:gapWidth val="150"/>
        <c:overlap val="0"/>
        <c:axId val="24255635"/>
        <c:axId val="63042253"/>
      </c:barChart>
      <c:catAx>
        <c:axId val="242556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3042253"/>
        <c:crosses val="autoZero"/>
        <c:auto val="1"/>
        <c:lblAlgn val="ctr"/>
        <c:lblOffset val="100"/>
        <c:noMultiLvlLbl val="0"/>
      </c:catAx>
      <c:valAx>
        <c:axId val="63042253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42556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23</c:v>
                </c:pt>
                <c:pt idx="1">
                  <c:v>23</c:v>
                </c:pt>
                <c:pt idx="2">
                  <c:v>22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</c:ser>
        <c:gapWidth val="219"/>
        <c:overlap val="-27"/>
        <c:axId val="11649226"/>
        <c:axId val="42883037"/>
      </c:barChart>
      <c:catAx>
        <c:axId val="116492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2883037"/>
        <c:crosses val="autoZero"/>
        <c:auto val="1"/>
        <c:lblAlgn val="ctr"/>
        <c:lblOffset val="100"/>
        <c:noMultiLvlLbl val="0"/>
      </c:catAx>
      <c:valAx>
        <c:axId val="4288303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16492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192240</xdr:colOff>
      <xdr:row>2</xdr:row>
      <xdr:rowOff>85680</xdr:rowOff>
    </xdr:from>
    <xdr:to>
      <xdr:col>7</xdr:col>
      <xdr:colOff>323640</xdr:colOff>
      <xdr:row>17</xdr:row>
      <xdr:rowOff>93240</xdr:rowOff>
    </xdr:to>
    <xdr:graphicFrame>
      <xdr:nvGraphicFramePr>
        <xdr:cNvPr id="0" name="Chart 1"/>
        <xdr:cNvGraphicFramePr/>
      </xdr:nvGraphicFramePr>
      <xdr:xfrm>
        <a:off x="192240" y="466560"/>
        <a:ext cx="4345200" cy="286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20</xdr:col>
      <xdr:colOff>36360</xdr:colOff>
      <xdr:row>17</xdr:row>
      <xdr:rowOff>102960</xdr:rowOff>
    </xdr:to>
    <xdr:graphicFrame>
      <xdr:nvGraphicFramePr>
        <xdr:cNvPr id="1" name="Chart 2"/>
        <xdr:cNvGraphicFramePr/>
      </xdr:nvGraphicFramePr>
      <xdr:xfrm>
        <a:off x="4697640" y="466560"/>
        <a:ext cx="7378200" cy="287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293400</xdr:colOff>
      <xdr:row>2</xdr:row>
      <xdr:rowOff>47520</xdr:rowOff>
    </xdr:from>
    <xdr:to>
      <xdr:col>27</xdr:col>
      <xdr:colOff>596520</xdr:colOff>
      <xdr:row>17</xdr:row>
      <xdr:rowOff>45720</xdr:rowOff>
    </xdr:to>
    <xdr:graphicFrame>
      <xdr:nvGraphicFramePr>
        <xdr:cNvPr id="2" name="Chart 3"/>
        <xdr:cNvGraphicFramePr/>
      </xdr:nvGraphicFramePr>
      <xdr:xfrm>
        <a:off x="12332880" y="428400"/>
        <a:ext cx="4517280" cy="285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6" activeCellId="0" sqref="F6"/>
    </sheetView>
  </sheetViews>
  <sheetFormatPr defaultColWidth="9.15625" defaultRowHeight="13.8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31.57"/>
    <col collapsed="false" customWidth="true" hidden="false" outlineLevel="0" max="3" min="3" style="1" width="18"/>
    <col collapsed="false" customWidth="true" hidden="false" outlineLevel="0" max="4" min="4" style="1" width="10.85"/>
    <col collapsed="false" customWidth="true" hidden="false" outlineLevel="0" max="5" min="5" style="1" width="16.28"/>
    <col collapsed="false" customWidth="true" hidden="false" outlineLevel="0" max="6" min="6" style="1" width="13.85"/>
    <col collapsed="false" customWidth="true" hidden="false" outlineLevel="0" max="7" min="7" style="1" width="12.15"/>
    <col collapsed="false" customWidth="true" hidden="false" outlineLevel="0" max="8" min="8" style="1" width="11.71"/>
    <col collapsed="false" customWidth="true" hidden="false" outlineLevel="0" max="9" min="9" style="1" width="12.15"/>
    <col collapsed="false" customWidth="true" hidden="false" outlineLevel="0" max="10" min="10" style="1" width="12.71"/>
    <col collapsed="false" customWidth="true" hidden="false" outlineLevel="0" max="11" min="11" style="1" width="12.15"/>
    <col collapsed="false" customWidth="true" hidden="false" outlineLevel="0" max="12" min="12" style="1" width="12.43"/>
    <col collapsed="false" customWidth="true" hidden="false" outlineLevel="0" max="13" min="13" style="1" width="12.15"/>
    <col collapsed="false" customWidth="true" hidden="false" outlineLevel="0" max="14" min="14" style="1" width="11.57"/>
    <col collapsed="false" customWidth="true" hidden="false" outlineLevel="0" max="15" min="15" style="1" width="12.15"/>
    <col collapsed="false" customWidth="true" hidden="false" outlineLevel="0" max="16" min="16" style="1" width="13.28"/>
    <col collapsed="false" customWidth="true" hidden="false" outlineLevel="0" max="17" min="17" style="1" width="15.85"/>
    <col collapsed="false" customWidth="true" hidden="false" outlineLevel="0" max="18" min="18" style="1" width="12.43"/>
    <col collapsed="false" customWidth="false" hidden="false" outlineLevel="0" max="16384" min="19" style="1" width="9.15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24.85" hidden="false" customHeight="false" outlineLevel="0" collapsed="false">
      <c r="A2" s="2" t="s">
        <v>2</v>
      </c>
      <c r="B2" s="3" t="s">
        <v>3</v>
      </c>
    </row>
    <row r="3" customFormat="false" ht="13.8" hidden="false" customHeight="false" outlineLevel="0" collapsed="false">
      <c r="A3" s="2" t="s">
        <v>4</v>
      </c>
      <c r="B3" s="4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15</v>
      </c>
    </row>
    <row r="9" customFormat="false" ht="13.8" hidden="false" customHeight="false" outlineLevel="0" collapsed="false">
      <c r="A9" s="2" t="s">
        <v>16</v>
      </c>
      <c r="B9" s="2" t="s">
        <v>17</v>
      </c>
    </row>
    <row r="10" customFormat="false" ht="13.8" hidden="false" customHeight="false" outlineLevel="0" collapsed="false">
      <c r="A10" s="2" t="s">
        <v>18</v>
      </c>
      <c r="B10" s="2" t="n">
        <v>3733387</v>
      </c>
    </row>
    <row r="11" customFormat="false" ht="13.8" hidden="false" customHeight="false" outlineLevel="0" collapsed="false">
      <c r="A11" s="5"/>
      <c r="B11" s="5"/>
    </row>
    <row r="13" customFormat="false" ht="35.8" hidden="false" customHeight="false" outlineLevel="0" collapsed="false">
      <c r="A13" s="6" t="s">
        <v>18</v>
      </c>
      <c r="B13" s="6" t="s">
        <v>19</v>
      </c>
      <c r="C13" s="6" t="s">
        <v>20</v>
      </c>
      <c r="D13" s="6" t="s">
        <v>21</v>
      </c>
      <c r="E13" s="6" t="s">
        <v>22</v>
      </c>
      <c r="F13" s="7" t="s">
        <v>23</v>
      </c>
      <c r="G13" s="7" t="s">
        <v>24</v>
      </c>
      <c r="H13" s="7" t="s">
        <v>25</v>
      </c>
      <c r="I13" s="7" t="s">
        <v>24</v>
      </c>
      <c r="J13" s="7" t="s">
        <v>26</v>
      </c>
      <c r="K13" s="7" t="s">
        <v>24</v>
      </c>
      <c r="L13" s="7" t="s">
        <v>27</v>
      </c>
      <c r="M13" s="7" t="s">
        <v>24</v>
      </c>
      <c r="N13" s="7" t="s">
        <v>28</v>
      </c>
      <c r="O13" s="7" t="s">
        <v>24</v>
      </c>
      <c r="P13" s="7" t="s">
        <v>29</v>
      </c>
      <c r="Q13" s="7" t="s">
        <v>30</v>
      </c>
      <c r="R13" s="7" t="s">
        <v>31</v>
      </c>
    </row>
    <row r="14" customFormat="false" ht="15.8" hidden="false" customHeight="false" outlineLevel="0" collapsed="false">
      <c r="A14" s="8" t="n">
        <v>3733387</v>
      </c>
      <c r="B14" s="2" t="s">
        <v>32</v>
      </c>
      <c r="C14" s="2" t="s">
        <v>33</v>
      </c>
      <c r="D14" s="2" t="s">
        <v>34</v>
      </c>
      <c r="E14" s="9" t="n">
        <v>46188</v>
      </c>
      <c r="F14" s="2" t="n">
        <v>29.6</v>
      </c>
      <c r="G14" s="2" t="str">
        <f aca="false">IF(F14&gt;=50,"PASS",IF(F14&gt;0,"FAIL", "ABSENT"))</f>
        <v>FAIL</v>
      </c>
      <c r="H14" s="2" t="n">
        <v>29.1</v>
      </c>
      <c r="I14" s="2" t="str">
        <f aca="false">IF(H14&gt;=50,"PASS",IF(H14&gt;0,"FAIL", "ABSENT"))</f>
        <v>FAIL</v>
      </c>
      <c r="J14" s="2" t="n">
        <v>32.9</v>
      </c>
      <c r="K14" s="2" t="str">
        <f aca="false">IF(J14&gt;=50,"PASS",IF(J14&gt;0,"FAIL", "ABSENT"))</f>
        <v>FAIL</v>
      </c>
      <c r="L14" s="2" t="n">
        <v>34.8</v>
      </c>
      <c r="M14" s="2" t="str">
        <f aca="false">IF(L14&gt;=50,"PASS",IF(L14&gt;0,"FAIL", "ABSENT"))</f>
        <v>FAIL</v>
      </c>
      <c r="N14" s="2" t="n">
        <v>8</v>
      </c>
      <c r="O14" s="2" t="str">
        <f aca="false">IF(N14&gt;=25,"PASS",IF(N14&gt;0,"FAIL", "ABSENT"))</f>
        <v>FAIL</v>
      </c>
      <c r="P14" s="10" t="n">
        <f aca="false">F14+H14+J14+L14+N14</f>
        <v>134.4</v>
      </c>
      <c r="Q14" s="2" t="str">
        <f aca="false">IF(R14&gt;=50,"PASS",IF(R14&gt;0,"FAIL","ABSENT"))</f>
        <v>FAIL</v>
      </c>
      <c r="R14" s="11" t="n">
        <f aca="false">P14/450*100</f>
        <v>29.8666666666667</v>
      </c>
    </row>
    <row r="15" customFormat="false" ht="15.8" hidden="false" customHeight="false" outlineLevel="0" collapsed="false">
      <c r="A15" s="8" t="n">
        <v>3733387</v>
      </c>
      <c r="B15" s="2" t="s">
        <v>35</v>
      </c>
      <c r="C15" s="2" t="s">
        <v>36</v>
      </c>
      <c r="D15" s="2" t="s">
        <v>34</v>
      </c>
      <c r="E15" s="9" t="n">
        <v>46188</v>
      </c>
      <c r="F15" s="2" t="n">
        <v>69</v>
      </c>
      <c r="G15" s="2" t="str">
        <f aca="false">IF(F15&gt;=50,"PASS",IF(F15&gt;0,"FAIL", "ABSENT"))</f>
        <v>PASS</v>
      </c>
      <c r="H15" s="2" t="n">
        <v>65.7</v>
      </c>
      <c r="I15" s="2" t="str">
        <f aca="false">IF(H15&gt;=50,"PASS",IF(H15&gt;0,"FAIL", "ABSENT"))</f>
        <v>PASS</v>
      </c>
      <c r="J15" s="2" t="n">
        <v>61.5</v>
      </c>
      <c r="K15" s="2" t="str">
        <f aca="false">IF(J15&gt;=50,"PASS",IF(J15&gt;0,"FAIL", "ABSENT"))</f>
        <v>PASS</v>
      </c>
      <c r="L15" s="2" t="n">
        <v>66</v>
      </c>
      <c r="M15" s="2" t="str">
        <f aca="false">IF(L15&gt;=50,"PASS",IF(L15&gt;0,"FAIL", "ABSENT"))</f>
        <v>PASS</v>
      </c>
      <c r="N15" s="2" t="n">
        <v>32</v>
      </c>
      <c r="O15" s="2" t="str">
        <f aca="false">IF(N15&gt;=25,"PASS",IF(N15&gt;0,"FAIL", "ABSENT"))</f>
        <v>PASS</v>
      </c>
      <c r="P15" s="10" t="n">
        <f aca="false">F15+H15+J15+L15+N15</f>
        <v>294.2</v>
      </c>
      <c r="Q15" s="2" t="str">
        <f aca="false">IF(R15&gt;=50,"PASS",IF(R15&gt;0,"FAIL","ABSENT"))</f>
        <v>PASS</v>
      </c>
      <c r="R15" s="11" t="n">
        <f aca="false">P15/450*100</f>
        <v>65.3777777777778</v>
      </c>
    </row>
    <row r="16" customFormat="false" ht="15.8" hidden="false" customHeight="false" outlineLevel="0" collapsed="false">
      <c r="A16" s="8" t="n">
        <v>3733387</v>
      </c>
      <c r="B16" s="2" t="s">
        <v>37</v>
      </c>
      <c r="C16" s="2" t="s">
        <v>38</v>
      </c>
      <c r="D16" s="2" t="s">
        <v>34</v>
      </c>
      <c r="E16" s="9" t="n">
        <v>46188</v>
      </c>
      <c r="F16" s="2" t="n">
        <v>79</v>
      </c>
      <c r="G16" s="2" t="str">
        <f aca="false">IF(F16&gt;=50,"PASS",IF(F16&gt;0,"FAIL", "ABSENT"))</f>
        <v>PASS</v>
      </c>
      <c r="H16" s="2" t="n">
        <v>69.7</v>
      </c>
      <c r="I16" s="2" t="str">
        <f aca="false">IF(H16&gt;=50,"PASS",IF(H16&gt;0,"FAIL", "ABSENT"))</f>
        <v>PASS</v>
      </c>
      <c r="J16" s="2" t="n">
        <v>67</v>
      </c>
      <c r="K16" s="2" t="str">
        <f aca="false">IF(J16&gt;=50,"PASS",IF(J16&gt;0,"FAIL", "ABSENT"))</f>
        <v>PASS</v>
      </c>
      <c r="L16" s="2" t="n">
        <v>52</v>
      </c>
      <c r="M16" s="2" t="str">
        <f aca="false">IF(L16&gt;=50,"PASS",IF(L16&gt;0,"FAIL", "ABSENT"))</f>
        <v>PASS</v>
      </c>
      <c r="N16" s="2" t="n">
        <v>19</v>
      </c>
      <c r="O16" s="2" t="str">
        <f aca="false">IF(N16&gt;=25,"PASS",IF(N16&gt;0,"FAIL", "ABSENT"))</f>
        <v>FAIL</v>
      </c>
      <c r="P16" s="10" t="n">
        <f aca="false">F16+H16+J16+L16+N16</f>
        <v>286.7</v>
      </c>
      <c r="Q16" s="2" t="str">
        <f aca="false">IF(R16&gt;=50,"PASS",IF(R16&gt;0,"FAIL","ABSENT"))</f>
        <v>PASS</v>
      </c>
      <c r="R16" s="11" t="n">
        <f aca="false">P16/450*100</f>
        <v>63.7111111111111</v>
      </c>
    </row>
    <row r="17" customFormat="false" ht="15.8" hidden="false" customHeight="false" outlineLevel="0" collapsed="false">
      <c r="A17" s="8" t="n">
        <v>3733387</v>
      </c>
      <c r="B17" s="2" t="s">
        <v>39</v>
      </c>
      <c r="C17" s="2" t="s">
        <v>40</v>
      </c>
      <c r="D17" s="2" t="s">
        <v>34</v>
      </c>
      <c r="E17" s="9" t="n">
        <v>46188</v>
      </c>
      <c r="F17" s="2" t="n">
        <v>62</v>
      </c>
      <c r="G17" s="2" t="str">
        <f aca="false">IF(F17&gt;=50,"PASS",IF(F17&gt;0,"FAIL", "ABSENT"))</f>
        <v>PASS</v>
      </c>
      <c r="H17" s="2" t="n">
        <v>65.7</v>
      </c>
      <c r="I17" s="2" t="str">
        <f aca="false">IF(H17&gt;=50,"PASS",IF(H17&gt;0,"FAIL", "ABSENT"))</f>
        <v>PASS</v>
      </c>
      <c r="J17" s="2" t="n">
        <v>71.7</v>
      </c>
      <c r="K17" s="2" t="str">
        <f aca="false">IF(J17&gt;=50,"PASS",IF(J17&gt;0,"FAIL", "ABSENT"))</f>
        <v>PASS</v>
      </c>
      <c r="L17" s="2" t="n">
        <v>64</v>
      </c>
      <c r="M17" s="2" t="str">
        <f aca="false">IF(L17&gt;=50,"PASS",IF(L17&gt;0,"FAIL", "ABSENT"))</f>
        <v>PASS</v>
      </c>
      <c r="N17" s="2" t="n">
        <v>33</v>
      </c>
      <c r="O17" s="2" t="str">
        <f aca="false">IF(N17&gt;=25,"PASS",IF(N17&gt;0,"FAIL", "ABSENT"))</f>
        <v>PASS</v>
      </c>
      <c r="P17" s="10" t="n">
        <f aca="false">F17+H17+J17+L17+N17</f>
        <v>296.4</v>
      </c>
      <c r="Q17" s="2" t="str">
        <f aca="false">IF(R17&gt;=50,"PASS",IF(R17&gt;0,"FAIL","ABSENT"))</f>
        <v>PASS</v>
      </c>
      <c r="R17" s="11" t="n">
        <f aca="false">P17/450*100</f>
        <v>65.8666666666667</v>
      </c>
    </row>
    <row r="18" customFormat="false" ht="15.8" hidden="false" customHeight="false" outlineLevel="0" collapsed="false">
      <c r="A18" s="8" t="n">
        <v>3733387</v>
      </c>
      <c r="B18" s="2" t="s">
        <v>41</v>
      </c>
      <c r="C18" s="2" t="s">
        <v>42</v>
      </c>
      <c r="D18" s="2" t="s">
        <v>34</v>
      </c>
      <c r="E18" s="9" t="n">
        <v>46188</v>
      </c>
      <c r="F18" s="2" t="n">
        <v>68.8</v>
      </c>
      <c r="G18" s="2" t="str">
        <f aca="false">IF(F18&gt;=50,"PASS",IF(F18&gt;0,"FAIL", "ABSENT"))</f>
        <v>PASS</v>
      </c>
      <c r="H18" s="2" t="n">
        <v>54</v>
      </c>
      <c r="I18" s="2" t="str">
        <f aca="false">IF(H18&gt;=50,"PASS",IF(H18&gt;0,"FAIL", "ABSENT"))</f>
        <v>PASS</v>
      </c>
      <c r="J18" s="2" t="n">
        <v>78</v>
      </c>
      <c r="K18" s="2" t="str">
        <f aca="false">IF(J18&gt;=50,"PASS",IF(J18&gt;0,"FAIL", "ABSENT"))</f>
        <v>PASS</v>
      </c>
      <c r="L18" s="2" t="n">
        <v>68</v>
      </c>
      <c r="M18" s="2" t="str">
        <f aca="false">IF(L18&gt;=50,"PASS",IF(L18&gt;0,"FAIL", "ABSENT"))</f>
        <v>PASS</v>
      </c>
      <c r="N18" s="2" t="n">
        <v>36</v>
      </c>
      <c r="O18" s="2" t="str">
        <f aca="false">IF(N18&gt;=25,"PASS",IF(N18&gt;0,"FAIL", "ABSENT"))</f>
        <v>PASS</v>
      </c>
      <c r="P18" s="10" t="n">
        <f aca="false">F18+H18+J18+L18+N18</f>
        <v>304.8</v>
      </c>
      <c r="Q18" s="2" t="str">
        <f aca="false">IF(R18&gt;=50,"PASS",IF(R18&gt;0,"FAIL","ABSENT"))</f>
        <v>PASS</v>
      </c>
      <c r="R18" s="11" t="n">
        <f aca="false">P18/450*100</f>
        <v>67.7333333333333</v>
      </c>
    </row>
    <row r="19" customFormat="false" ht="15.8" hidden="false" customHeight="false" outlineLevel="0" collapsed="false">
      <c r="A19" s="8" t="n">
        <v>3733387</v>
      </c>
      <c r="B19" s="2" t="s">
        <v>43</v>
      </c>
      <c r="C19" s="2" t="s">
        <v>44</v>
      </c>
      <c r="D19" s="2" t="s">
        <v>45</v>
      </c>
      <c r="E19" s="9" t="n">
        <v>46188</v>
      </c>
      <c r="F19" s="2" t="n">
        <v>73.2</v>
      </c>
      <c r="G19" s="2" t="str">
        <f aca="false">IF(F19&gt;=50,"PASS",IF(F19&gt;0,"FAIL", "ABSENT"))</f>
        <v>PASS</v>
      </c>
      <c r="H19" s="2" t="n">
        <v>66.9</v>
      </c>
      <c r="I19" s="2" t="str">
        <f aca="false">IF(H19&gt;=50,"PASS",IF(H19&gt;0,"FAIL", "ABSENT"))</f>
        <v>PASS</v>
      </c>
      <c r="J19" s="2" t="n">
        <v>66.5</v>
      </c>
      <c r="K19" s="2" t="str">
        <f aca="false">IF(J19&gt;=50,"PASS",IF(J19&gt;0,"FAIL", "ABSENT"))</f>
        <v>PASS</v>
      </c>
      <c r="L19" s="2" t="n">
        <v>60</v>
      </c>
      <c r="M19" s="2" t="str">
        <f aca="false">IF(L19&gt;=50,"PASS",IF(L19&gt;0,"FAIL", "ABSENT"))</f>
        <v>PASS</v>
      </c>
      <c r="N19" s="2" t="n">
        <v>34</v>
      </c>
      <c r="O19" s="2" t="str">
        <f aca="false">IF(N19&gt;=25,"PASS",IF(N19&gt;0,"FAIL", "ABSENT"))</f>
        <v>PASS</v>
      </c>
      <c r="P19" s="10" t="n">
        <f aca="false">F19+H19+J19+L19+N19</f>
        <v>300.6</v>
      </c>
      <c r="Q19" s="2" t="str">
        <f aca="false">IF(R19&gt;=50,"PASS",IF(R19&gt;0,"FAIL","ABSENT"))</f>
        <v>PASS</v>
      </c>
      <c r="R19" s="11" t="n">
        <f aca="false">P19/450*100</f>
        <v>66.8</v>
      </c>
    </row>
    <row r="20" customFormat="false" ht="15.8" hidden="false" customHeight="false" outlineLevel="0" collapsed="false">
      <c r="A20" s="8" t="n">
        <v>3733387</v>
      </c>
      <c r="B20" s="2" t="s">
        <v>46</v>
      </c>
      <c r="C20" s="2" t="s">
        <v>47</v>
      </c>
      <c r="D20" s="2" t="s">
        <v>45</v>
      </c>
      <c r="E20" s="9" t="n">
        <v>46188</v>
      </c>
      <c r="F20" s="2" t="n">
        <v>66.4</v>
      </c>
      <c r="G20" s="2" t="str">
        <f aca="false">IF(F20&gt;=50,"PASS",IF(F20&gt;0,"FAIL", "ABSENT"))</f>
        <v>PASS</v>
      </c>
      <c r="H20" s="2" t="n">
        <v>66.9</v>
      </c>
      <c r="I20" s="2" t="str">
        <f aca="false">IF(H20&gt;=50,"PASS",IF(H20&gt;0,"FAIL", "ABSENT"))</f>
        <v>PASS</v>
      </c>
      <c r="J20" s="2" t="n">
        <v>63</v>
      </c>
      <c r="K20" s="2" t="str">
        <f aca="false">IF(J20&gt;=50,"PASS",IF(J20&gt;0,"FAIL", "ABSENT"))</f>
        <v>PASS</v>
      </c>
      <c r="L20" s="2" t="n">
        <v>68</v>
      </c>
      <c r="M20" s="2" t="str">
        <f aca="false">IF(L20&gt;=50,"PASS",IF(L20&gt;0,"FAIL", "ABSENT"))</f>
        <v>PASS</v>
      </c>
      <c r="N20" s="2" t="n">
        <v>32</v>
      </c>
      <c r="O20" s="2" t="str">
        <f aca="false">IF(N20&gt;=25,"PASS",IF(N20&gt;0,"FAIL", "ABSENT"))</f>
        <v>PASS</v>
      </c>
      <c r="P20" s="10" t="n">
        <f aca="false">F20+H20+J20+L20+N20</f>
        <v>296.3</v>
      </c>
      <c r="Q20" s="2" t="str">
        <f aca="false">IF(R20&gt;=50,"PASS",IF(R20&gt;0,"FAIL","ABSENT"))</f>
        <v>PASS</v>
      </c>
      <c r="R20" s="11" t="n">
        <f aca="false">P20/450*100</f>
        <v>65.8444444444445</v>
      </c>
    </row>
    <row r="21" customFormat="false" ht="15.8" hidden="false" customHeight="false" outlineLevel="0" collapsed="false">
      <c r="A21" s="8" t="n">
        <v>3733387</v>
      </c>
      <c r="B21" s="2" t="s">
        <v>48</v>
      </c>
      <c r="C21" s="2" t="s">
        <v>49</v>
      </c>
      <c r="D21" s="2" t="s">
        <v>45</v>
      </c>
      <c r="E21" s="9" t="n">
        <v>46188</v>
      </c>
      <c r="F21" s="2" t="n">
        <v>67.1</v>
      </c>
      <c r="G21" s="2" t="str">
        <f aca="false">IF(F21&gt;=50,"PASS",IF(F21&gt;0,"FAIL", "ABSENT"))</f>
        <v>PASS</v>
      </c>
      <c r="H21" s="2" t="n">
        <v>62.9</v>
      </c>
      <c r="I21" s="2" t="str">
        <f aca="false">IF(H21&gt;=50,"PASS",IF(H21&gt;0,"FAIL", "ABSENT"))</f>
        <v>PASS</v>
      </c>
      <c r="J21" s="2" t="n">
        <v>66.5</v>
      </c>
      <c r="K21" s="2" t="str">
        <f aca="false">IF(J21&gt;=50,"PASS",IF(J21&gt;0,"FAIL", "ABSENT"))</f>
        <v>PASS</v>
      </c>
      <c r="L21" s="2" t="n">
        <v>71</v>
      </c>
      <c r="M21" s="2" t="str">
        <f aca="false">IF(L21&gt;=50,"PASS",IF(L21&gt;0,"FAIL", "ABSENT"))</f>
        <v>PASS</v>
      </c>
      <c r="N21" s="2" t="n">
        <v>33</v>
      </c>
      <c r="O21" s="2" t="str">
        <f aca="false">IF(N21&gt;=25,"PASS",IF(N21&gt;0,"FAIL", "ABSENT"))</f>
        <v>PASS</v>
      </c>
      <c r="P21" s="10" t="n">
        <f aca="false">F21+H21+J21+L21+N21</f>
        <v>300.5</v>
      </c>
      <c r="Q21" s="2" t="str">
        <f aca="false">IF(R21&gt;=50,"PASS",IF(R21&gt;0,"FAIL","ABSENT"))</f>
        <v>PASS</v>
      </c>
      <c r="R21" s="11" t="n">
        <f aca="false">P21/450*100</f>
        <v>66.7777777777778</v>
      </c>
    </row>
    <row r="22" customFormat="false" ht="15.8" hidden="false" customHeight="false" outlineLevel="0" collapsed="false">
      <c r="A22" s="8" t="n">
        <v>3733387</v>
      </c>
      <c r="B22" s="2" t="s">
        <v>50</v>
      </c>
      <c r="C22" s="2" t="s">
        <v>51</v>
      </c>
      <c r="D22" s="2" t="s">
        <v>45</v>
      </c>
      <c r="E22" s="9" t="n">
        <v>46188</v>
      </c>
      <c r="F22" s="2" t="n">
        <v>66</v>
      </c>
      <c r="G22" s="2" t="str">
        <f aca="false">IF(F22&gt;=50,"PASS",IF(F22&gt;0,"FAIL", "ABSENT"))</f>
        <v>PASS</v>
      </c>
      <c r="H22" s="2" t="n">
        <v>67.5</v>
      </c>
      <c r="I22" s="2" t="str">
        <f aca="false">IF(H22&gt;=50,"PASS",IF(H22&gt;0,"FAIL", "ABSENT"))</f>
        <v>PASS</v>
      </c>
      <c r="J22" s="2" t="n">
        <v>71.1</v>
      </c>
      <c r="K22" s="2" t="str">
        <f aca="false">IF(J22&gt;=50,"PASS",IF(J22&gt;0,"FAIL", "ABSENT"))</f>
        <v>PASS</v>
      </c>
      <c r="L22" s="2" t="n">
        <v>66.9</v>
      </c>
      <c r="M22" s="2" t="str">
        <f aca="false">IF(L22&gt;=50,"PASS",IF(L22&gt;0,"FAIL", "ABSENT"))</f>
        <v>PASS</v>
      </c>
      <c r="N22" s="2" t="n">
        <v>34</v>
      </c>
      <c r="O22" s="2" t="str">
        <f aca="false">IF(N22&gt;=25,"PASS",IF(N22&gt;0,"FAIL", "ABSENT"))</f>
        <v>PASS</v>
      </c>
      <c r="P22" s="10" t="n">
        <f aca="false">F22+H22+J22+L22+N22</f>
        <v>305.5</v>
      </c>
      <c r="Q22" s="2" t="str">
        <f aca="false">IF(R22&gt;=50,"PASS",IF(R22&gt;0,"FAIL","ABSENT"))</f>
        <v>PASS</v>
      </c>
      <c r="R22" s="11" t="n">
        <f aca="false">P22/450*100</f>
        <v>67.8888888888889</v>
      </c>
    </row>
    <row r="23" customFormat="false" ht="15.8" hidden="false" customHeight="false" outlineLevel="0" collapsed="false">
      <c r="A23" s="8" t="n">
        <v>3733387</v>
      </c>
      <c r="B23" s="2" t="s">
        <v>52</v>
      </c>
      <c r="C23" s="2" t="s">
        <v>53</v>
      </c>
      <c r="D23" s="2" t="s">
        <v>34</v>
      </c>
      <c r="E23" s="9" t="n">
        <v>46188</v>
      </c>
      <c r="F23" s="2" t="n">
        <v>68.8</v>
      </c>
      <c r="G23" s="2" t="str">
        <f aca="false">IF(F23&gt;=50,"PASS",IF(F23&gt;0,"FAIL", "ABSENT"))</f>
        <v>PASS</v>
      </c>
      <c r="H23" s="2" t="n">
        <v>67.7</v>
      </c>
      <c r="I23" s="2" t="str">
        <f aca="false">IF(H23&gt;=50,"PASS",IF(H23&gt;0,"FAIL", "ABSENT"))</f>
        <v>PASS</v>
      </c>
      <c r="J23" s="2" t="n">
        <v>66.5</v>
      </c>
      <c r="K23" s="2" t="str">
        <f aca="false">IF(J23&gt;=50,"PASS",IF(J23&gt;0,"FAIL", "ABSENT"))</f>
        <v>PASS</v>
      </c>
      <c r="L23" s="2" t="n">
        <v>69</v>
      </c>
      <c r="M23" s="2" t="str">
        <f aca="false">IF(L23&gt;=50,"PASS",IF(L23&gt;0,"FAIL", "ABSENT"))</f>
        <v>PASS</v>
      </c>
      <c r="N23" s="2" t="n">
        <v>32</v>
      </c>
      <c r="O23" s="2" t="str">
        <f aca="false">IF(N23&gt;=25,"PASS",IF(N23&gt;0,"FAIL", "ABSENT"))</f>
        <v>PASS</v>
      </c>
      <c r="P23" s="10" t="n">
        <f aca="false">F23+H23+J23+L23+N23</f>
        <v>304</v>
      </c>
      <c r="Q23" s="2" t="str">
        <f aca="false">IF(R23&gt;=50,"PASS",IF(R23&gt;0,"FAIL","ABSENT"))</f>
        <v>PASS</v>
      </c>
      <c r="R23" s="11" t="n">
        <f aca="false">P23/450*100</f>
        <v>67.5555555555556</v>
      </c>
    </row>
    <row r="24" customFormat="false" ht="15.8" hidden="false" customHeight="false" outlineLevel="0" collapsed="false">
      <c r="A24" s="8" t="n">
        <v>3733387</v>
      </c>
      <c r="B24" s="2" t="s">
        <v>54</v>
      </c>
      <c r="C24" s="2" t="s">
        <v>55</v>
      </c>
      <c r="D24" s="2" t="s">
        <v>45</v>
      </c>
      <c r="E24" s="9" t="n">
        <v>46188</v>
      </c>
      <c r="F24" s="2" t="n">
        <v>58.2</v>
      </c>
      <c r="G24" s="2" t="str">
        <f aca="false">IF(F24&gt;=50,"PASS",IF(F24&gt;0,"FAIL", "ABSENT"))</f>
        <v>PASS</v>
      </c>
      <c r="H24" s="2" t="n">
        <v>63.7</v>
      </c>
      <c r="I24" s="2" t="str">
        <f aca="false">IF(H24&gt;=50,"PASS",IF(H24&gt;0,"FAIL", "ABSENT"))</f>
        <v>PASS</v>
      </c>
      <c r="J24" s="2" t="n">
        <v>70.5</v>
      </c>
      <c r="K24" s="2" t="str">
        <f aca="false">IF(J24&gt;=50,"PASS",IF(J24&gt;0,"FAIL", "ABSENT"))</f>
        <v>PASS</v>
      </c>
      <c r="L24" s="2" t="n">
        <v>65</v>
      </c>
      <c r="M24" s="2" t="str">
        <f aca="false">IF(L24&gt;=50,"PASS",IF(L24&gt;0,"FAIL", "ABSENT"))</f>
        <v>PASS</v>
      </c>
      <c r="N24" s="2" t="n">
        <v>33</v>
      </c>
      <c r="O24" s="2" t="str">
        <f aca="false">IF(N24&gt;=25,"PASS",IF(N24&gt;0,"FAIL", "ABSENT"))</f>
        <v>PASS</v>
      </c>
      <c r="P24" s="10" t="n">
        <f aca="false">F24+H24+J24+L24+N24</f>
        <v>290.4</v>
      </c>
      <c r="Q24" s="2" t="str">
        <f aca="false">IF(R24&gt;=50,"PASS",IF(R24&gt;0,"FAIL","ABSENT"))</f>
        <v>PASS</v>
      </c>
      <c r="R24" s="11" t="n">
        <f aca="false">P24/450*100</f>
        <v>64.5333333333333</v>
      </c>
    </row>
    <row r="25" customFormat="false" ht="15.8" hidden="false" customHeight="false" outlineLevel="0" collapsed="false">
      <c r="A25" s="8" t="n">
        <v>3733387</v>
      </c>
      <c r="B25" s="2" t="s">
        <v>56</v>
      </c>
      <c r="C25" s="2" t="s">
        <v>57</v>
      </c>
      <c r="D25" s="2" t="s">
        <v>34</v>
      </c>
      <c r="E25" s="9" t="n">
        <v>46188</v>
      </c>
      <c r="F25" s="2" t="n">
        <v>71.5</v>
      </c>
      <c r="G25" s="2" t="str">
        <f aca="false">IF(F25&gt;=50,"PASS",IF(F25&gt;0,"FAIL", "ABSENT"))</f>
        <v>PASS</v>
      </c>
      <c r="H25" s="2" t="n">
        <v>66.3</v>
      </c>
      <c r="I25" s="2" t="str">
        <f aca="false">IF(H25&gt;=50,"PASS",IF(H25&gt;0,"FAIL", "ABSENT"))</f>
        <v>PASS</v>
      </c>
      <c r="J25" s="2" t="n">
        <v>58.5</v>
      </c>
      <c r="K25" s="2" t="str">
        <f aca="false">IF(J25&gt;=50,"PASS",IF(J25&gt;0,"FAIL", "ABSENT"))</f>
        <v>PASS</v>
      </c>
      <c r="L25" s="2" t="n">
        <v>65</v>
      </c>
      <c r="M25" s="2" t="str">
        <f aca="false">IF(L25&gt;=50,"PASS",IF(L25&gt;0,"FAIL", "ABSENT"))</f>
        <v>PASS</v>
      </c>
      <c r="N25" s="2" t="n">
        <v>33</v>
      </c>
      <c r="O25" s="2" t="str">
        <f aca="false">IF(N25&gt;=25,"PASS",IF(N25&gt;0,"FAIL", "ABSENT"))</f>
        <v>PASS</v>
      </c>
      <c r="P25" s="10" t="n">
        <f aca="false">F25+H25+J25+L25+N25</f>
        <v>294.3</v>
      </c>
      <c r="Q25" s="2" t="str">
        <f aca="false">IF(R25&gt;=50,"PASS",IF(R25&gt;0,"FAIL","ABSENT"))</f>
        <v>PASS</v>
      </c>
      <c r="R25" s="11" t="n">
        <f aca="false">P25/450*100</f>
        <v>65.4</v>
      </c>
    </row>
    <row r="26" customFormat="false" ht="15.8" hidden="false" customHeight="false" outlineLevel="0" collapsed="false">
      <c r="A26" s="8" t="n">
        <v>3733387</v>
      </c>
      <c r="B26" s="2" t="s">
        <v>58</v>
      </c>
      <c r="C26" s="2" t="s">
        <v>59</v>
      </c>
      <c r="D26" s="2" t="s">
        <v>34</v>
      </c>
      <c r="E26" s="9" t="n">
        <v>46188</v>
      </c>
      <c r="F26" s="2" t="n">
        <v>69.5</v>
      </c>
      <c r="G26" s="2" t="str">
        <f aca="false">IF(F26&gt;=50,"PASS",IF(F26&gt;0,"FAIL", "ABSENT"))</f>
        <v>PASS</v>
      </c>
      <c r="H26" s="2" t="n">
        <v>66.1</v>
      </c>
      <c r="I26" s="2" t="str">
        <f aca="false">IF(H26&gt;=50,"PASS",IF(H26&gt;0,"FAIL", "ABSENT"))</f>
        <v>PASS</v>
      </c>
      <c r="J26" s="2" t="n">
        <v>70.5</v>
      </c>
      <c r="K26" s="2" t="str">
        <f aca="false">IF(J26&gt;=50,"PASS",IF(J26&gt;0,"FAIL", "ABSENT"))</f>
        <v>PASS</v>
      </c>
      <c r="L26" s="2" t="n">
        <v>65</v>
      </c>
      <c r="M26" s="2" t="str">
        <f aca="false">IF(L26&gt;=50,"PASS",IF(L26&gt;0,"FAIL", "ABSENT"))</f>
        <v>PASS</v>
      </c>
      <c r="N26" s="2" t="n">
        <v>32</v>
      </c>
      <c r="O26" s="2" t="str">
        <f aca="false">IF(N26&gt;=25,"PASS",IF(N26&gt;0,"FAIL", "ABSENT"))</f>
        <v>PASS</v>
      </c>
      <c r="P26" s="10" t="n">
        <f aca="false">F26+H26+J26+L26+N26</f>
        <v>303.1</v>
      </c>
      <c r="Q26" s="2" t="str">
        <f aca="false">IF(R26&gt;=50,"PASS",IF(R26&gt;0,"FAIL","ABSENT"))</f>
        <v>PASS</v>
      </c>
      <c r="R26" s="11" t="n">
        <f aca="false">P26/450*100</f>
        <v>67.3555555555556</v>
      </c>
    </row>
    <row r="27" customFormat="false" ht="15.8" hidden="false" customHeight="false" outlineLevel="0" collapsed="false">
      <c r="A27" s="8" t="n">
        <v>3733387</v>
      </c>
      <c r="B27" s="2" t="s">
        <v>60</v>
      </c>
      <c r="C27" s="2" t="s">
        <v>61</v>
      </c>
      <c r="D27" s="2" t="s">
        <v>34</v>
      </c>
      <c r="E27" s="9" t="n">
        <v>46188</v>
      </c>
      <c r="F27" s="2" t="n">
        <v>53</v>
      </c>
      <c r="G27" s="2" t="str">
        <f aca="false">IF(F27&gt;=50,"PASS",IF(F27&gt;0,"FAIL", "ABSENT"))</f>
        <v>PASS</v>
      </c>
      <c r="H27" s="2" t="n">
        <v>62.7</v>
      </c>
      <c r="I27" s="2" t="str">
        <f aca="false">IF(H27&gt;=50,"PASS",IF(H27&gt;0,"FAIL", "ABSENT"))</f>
        <v>PASS</v>
      </c>
      <c r="J27" s="2" t="n">
        <v>66.5</v>
      </c>
      <c r="K27" s="2" t="str">
        <f aca="false">IF(J27&gt;=50,"PASS",IF(J27&gt;0,"FAIL", "ABSENT"))</f>
        <v>PASS</v>
      </c>
      <c r="L27" s="2" t="n">
        <v>69</v>
      </c>
      <c r="M27" s="2" t="str">
        <f aca="false">IF(L27&gt;=50,"PASS",IF(L27&gt;0,"FAIL", "ABSENT"))</f>
        <v>PASS</v>
      </c>
      <c r="N27" s="2" t="n">
        <v>34</v>
      </c>
      <c r="O27" s="2" t="str">
        <f aca="false">IF(N27&gt;=25,"PASS",IF(N27&gt;0,"FAIL", "ABSENT"))</f>
        <v>PASS</v>
      </c>
      <c r="P27" s="10" t="n">
        <f aca="false">F27+H27+J27+L27+N27</f>
        <v>285.2</v>
      </c>
      <c r="Q27" s="2" t="str">
        <f aca="false">IF(R27&gt;=50,"PASS",IF(R27&gt;0,"FAIL","ABSENT"))</f>
        <v>PASS</v>
      </c>
      <c r="R27" s="11" t="n">
        <f aca="false">P27/450*100</f>
        <v>63.3777777777778</v>
      </c>
    </row>
    <row r="28" customFormat="false" ht="15.8" hidden="false" customHeight="false" outlineLevel="0" collapsed="false">
      <c r="A28" s="8" t="n">
        <v>3733387</v>
      </c>
      <c r="B28" s="2" t="s">
        <v>62</v>
      </c>
      <c r="C28" s="2" t="s">
        <v>63</v>
      </c>
      <c r="D28" s="2" t="s">
        <v>34</v>
      </c>
      <c r="E28" s="9" t="n">
        <v>46188</v>
      </c>
      <c r="F28" s="2" t="n">
        <v>74.2</v>
      </c>
      <c r="G28" s="2" t="str">
        <f aca="false">IF(F28&gt;=50,"PASS",IF(F28&gt;0,"FAIL", "ABSENT"))</f>
        <v>PASS</v>
      </c>
      <c r="H28" s="2" t="n">
        <v>75.7</v>
      </c>
      <c r="I28" s="2" t="str">
        <f aca="false">IF(H28&gt;=50,"PASS",IF(H28&gt;0,"FAIL", "ABSENT"))</f>
        <v>PASS</v>
      </c>
      <c r="J28" s="2" t="n">
        <v>66.5</v>
      </c>
      <c r="K28" s="2" t="str">
        <f aca="false">IF(J28&gt;=50,"PASS",IF(J28&gt;0,"FAIL", "ABSENT"))</f>
        <v>PASS</v>
      </c>
      <c r="L28" s="2" t="n">
        <v>45</v>
      </c>
      <c r="M28" s="2" t="str">
        <f aca="false">IF(L28&gt;=50,"PASS",IF(L28&gt;0,"FAIL", "ABSENT"))</f>
        <v>FAIL</v>
      </c>
      <c r="N28" s="2" t="n">
        <v>18</v>
      </c>
      <c r="O28" s="2" t="str">
        <f aca="false">IF(N28&gt;=25,"PASS",IF(N28&gt;0,"FAIL", "ABSENT"))</f>
        <v>FAIL</v>
      </c>
      <c r="P28" s="10" t="n">
        <f aca="false">F28+H28+J28+L28+N28</f>
        <v>279.4</v>
      </c>
      <c r="Q28" s="2" t="str">
        <f aca="false">IF(R28&gt;=50,"PASS",IF(R28&gt;0,"FAIL","ABSENT"))</f>
        <v>PASS</v>
      </c>
      <c r="R28" s="11" t="n">
        <f aca="false">P28/450*100</f>
        <v>62.0888888888889</v>
      </c>
    </row>
    <row r="29" customFormat="false" ht="15.8" hidden="false" customHeight="false" outlineLevel="0" collapsed="false">
      <c r="A29" s="8" t="n">
        <v>3733387</v>
      </c>
      <c r="B29" s="2" t="s">
        <v>64</v>
      </c>
      <c r="C29" s="2" t="s">
        <v>65</v>
      </c>
      <c r="D29" s="2" t="s">
        <v>45</v>
      </c>
      <c r="E29" s="9" t="n">
        <v>46188</v>
      </c>
      <c r="F29" s="2" t="n">
        <v>58.3</v>
      </c>
      <c r="G29" s="2" t="str">
        <f aca="false">IF(F29&gt;=50,"PASS",IF(F29&gt;0,"FAIL", "ABSENT"))</f>
        <v>PASS</v>
      </c>
      <c r="H29" s="2" t="n">
        <v>68.9</v>
      </c>
      <c r="I29" s="2" t="str">
        <f aca="false">IF(H29&gt;=50,"PASS",IF(H29&gt;0,"FAIL", "ABSENT"))</f>
        <v>PASS</v>
      </c>
      <c r="J29" s="2" t="n">
        <v>70.5</v>
      </c>
      <c r="K29" s="2" t="str">
        <f aca="false">IF(J29&gt;=50,"PASS",IF(J29&gt;0,"FAIL", "ABSENT"))</f>
        <v>PASS</v>
      </c>
      <c r="L29" s="2" t="n">
        <v>63</v>
      </c>
      <c r="M29" s="2" t="str">
        <f aca="false">IF(L29&gt;=50,"PASS",IF(L29&gt;0,"FAIL", "ABSENT"))</f>
        <v>PASS</v>
      </c>
      <c r="N29" s="2" t="n">
        <v>33</v>
      </c>
      <c r="O29" s="2" t="str">
        <f aca="false">IF(N29&gt;=25,"PASS",IF(N29&gt;0,"FAIL", "ABSENT"))</f>
        <v>PASS</v>
      </c>
      <c r="P29" s="10" t="n">
        <f aca="false">F29+H29+J29+L29+N29</f>
        <v>293.7</v>
      </c>
      <c r="Q29" s="2" t="str">
        <f aca="false">IF(R29&gt;=50,"PASS",IF(R29&gt;0,"FAIL","ABSENT"))</f>
        <v>PASS</v>
      </c>
      <c r="R29" s="11" t="n">
        <f aca="false">P29/450*100</f>
        <v>65.2666666666667</v>
      </c>
    </row>
    <row r="30" customFormat="false" ht="15.8" hidden="false" customHeight="false" outlineLevel="0" collapsed="false">
      <c r="A30" s="8" t="n">
        <v>3733387</v>
      </c>
      <c r="B30" s="2" t="s">
        <v>66</v>
      </c>
      <c r="C30" s="2" t="s">
        <v>67</v>
      </c>
      <c r="D30" s="2" t="s">
        <v>34</v>
      </c>
      <c r="E30" s="9" t="n">
        <v>46188</v>
      </c>
      <c r="F30" s="2" t="n">
        <v>68.8</v>
      </c>
      <c r="G30" s="2" t="str">
        <f aca="false">IF(F30&gt;=50,"PASS",IF(F30&gt;0,"FAIL", "ABSENT"))</f>
        <v>PASS</v>
      </c>
      <c r="H30" s="2" t="n">
        <v>60.9</v>
      </c>
      <c r="I30" s="2" t="str">
        <f aca="false">IF(H30&gt;=50,"PASS",IF(H30&gt;0,"FAIL", "ABSENT"))</f>
        <v>PASS</v>
      </c>
      <c r="J30" s="2" t="n">
        <v>57</v>
      </c>
      <c r="K30" s="2" t="str">
        <f aca="false">IF(J30&gt;=50,"PASS",IF(J30&gt;0,"FAIL", "ABSENT"))</f>
        <v>PASS</v>
      </c>
      <c r="L30" s="2" t="n">
        <v>62</v>
      </c>
      <c r="M30" s="2" t="str">
        <f aca="false">IF(L30&gt;=50,"PASS",IF(L30&gt;0,"FAIL", "ABSENT"))</f>
        <v>PASS</v>
      </c>
      <c r="N30" s="2" t="n">
        <v>34</v>
      </c>
      <c r="O30" s="2" t="str">
        <f aca="false">IF(N30&gt;=25,"PASS",IF(N30&gt;0,"FAIL", "ABSENT"))</f>
        <v>PASS</v>
      </c>
      <c r="P30" s="10" t="n">
        <f aca="false">F30+H30+J30+L30+N30</f>
        <v>282.7</v>
      </c>
      <c r="Q30" s="2" t="str">
        <f aca="false">IF(R30&gt;=50,"PASS",IF(R30&gt;0,"FAIL","ABSENT"))</f>
        <v>PASS</v>
      </c>
      <c r="R30" s="11" t="n">
        <f aca="false">P30/450*100</f>
        <v>62.8222222222222</v>
      </c>
    </row>
    <row r="31" customFormat="false" ht="15.8" hidden="false" customHeight="false" outlineLevel="0" collapsed="false">
      <c r="A31" s="8" t="n">
        <v>3733387</v>
      </c>
      <c r="B31" s="2" t="s">
        <v>68</v>
      </c>
      <c r="C31" s="2" t="s">
        <v>69</v>
      </c>
      <c r="D31" s="2" t="s">
        <v>34</v>
      </c>
      <c r="E31" s="9" t="n">
        <v>46188</v>
      </c>
      <c r="F31" s="2" t="n">
        <v>68.2</v>
      </c>
      <c r="G31" s="2" t="str">
        <f aca="false">IF(F31&gt;=50,"PASS",IF(F31&gt;0,"FAIL", "ABSENT"))</f>
        <v>PASS</v>
      </c>
      <c r="H31" s="2" t="n">
        <v>72.7</v>
      </c>
      <c r="I31" s="2" t="str">
        <f aca="false">IF(H31&gt;=50,"PASS",IF(H31&gt;0,"FAIL", "ABSENT"))</f>
        <v>PASS</v>
      </c>
      <c r="J31" s="2" t="n">
        <v>67</v>
      </c>
      <c r="K31" s="2" t="str">
        <f aca="false">IF(J31&gt;=50,"PASS",IF(J31&gt;0,"FAIL", "ABSENT"))</f>
        <v>PASS</v>
      </c>
      <c r="L31" s="2" t="n">
        <v>63</v>
      </c>
      <c r="M31" s="2" t="str">
        <f aca="false">IF(L31&gt;=50,"PASS",IF(L31&gt;0,"FAIL", "ABSENT"))</f>
        <v>PASS</v>
      </c>
      <c r="N31" s="2" t="n">
        <v>33</v>
      </c>
      <c r="O31" s="2" t="str">
        <f aca="false">IF(N31&gt;=25,"PASS",IF(N31&gt;0,"FAIL", "ABSENT"))</f>
        <v>PASS</v>
      </c>
      <c r="P31" s="10" t="n">
        <f aca="false">F31+H31+J31+L31+N31</f>
        <v>303.9</v>
      </c>
      <c r="Q31" s="2" t="str">
        <f aca="false">IF(R31&gt;=50,"PASS",IF(R31&gt;0,"FAIL","ABSENT"))</f>
        <v>PASS</v>
      </c>
      <c r="R31" s="11" t="n">
        <f aca="false">P31/450*100</f>
        <v>67.5333333333333</v>
      </c>
    </row>
    <row r="32" customFormat="false" ht="15.8" hidden="false" customHeight="false" outlineLevel="0" collapsed="false">
      <c r="A32" s="8" t="n">
        <v>3733387</v>
      </c>
      <c r="B32" s="2" t="s">
        <v>70</v>
      </c>
      <c r="C32" s="2" t="s">
        <v>71</v>
      </c>
      <c r="D32" s="2" t="s">
        <v>34</v>
      </c>
      <c r="E32" s="9" t="n">
        <v>46188</v>
      </c>
      <c r="F32" s="2" t="n">
        <v>61</v>
      </c>
      <c r="G32" s="2" t="str">
        <f aca="false">IF(F32&gt;=50,"PASS",IF(F32&gt;0,"FAIL", "ABSENT"))</f>
        <v>PASS</v>
      </c>
      <c r="H32" s="2" t="n">
        <v>47.7</v>
      </c>
      <c r="I32" s="2" t="str">
        <f aca="false">IF(H32&gt;=50,"PASS",IF(H32&gt;0,"FAIL", "ABSENT"))</f>
        <v>FAIL</v>
      </c>
      <c r="J32" s="2" t="n">
        <v>73.5</v>
      </c>
      <c r="K32" s="2" t="str">
        <f aca="false">IF(J32&gt;=50,"PASS",IF(J32&gt;0,"FAIL", "ABSENT"))</f>
        <v>PASS</v>
      </c>
      <c r="L32" s="2" t="n">
        <v>65</v>
      </c>
      <c r="M32" s="2" t="str">
        <f aca="false">IF(L32&gt;=50,"PASS",IF(L32&gt;0,"FAIL", "ABSENT"))</f>
        <v>PASS</v>
      </c>
      <c r="N32" s="2" t="n">
        <v>26</v>
      </c>
      <c r="O32" s="2" t="str">
        <f aca="false">IF(N32&gt;=25,"PASS",IF(N32&gt;0,"FAIL", "ABSENT"))</f>
        <v>PASS</v>
      </c>
      <c r="P32" s="10" t="n">
        <f aca="false">F32+H32+J32+L32+N32</f>
        <v>273.2</v>
      </c>
      <c r="Q32" s="2" t="str">
        <f aca="false">IF(R32&gt;=50,"PASS",IF(R32&gt;0,"FAIL","ABSENT"))</f>
        <v>PASS</v>
      </c>
      <c r="R32" s="11" t="n">
        <f aca="false">P32/450*100</f>
        <v>60.7111111111111</v>
      </c>
    </row>
    <row r="33" customFormat="false" ht="15.8" hidden="false" customHeight="false" outlineLevel="0" collapsed="false">
      <c r="A33" s="8" t="n">
        <v>3733387</v>
      </c>
      <c r="B33" s="2" t="s">
        <v>72</v>
      </c>
      <c r="C33" s="2" t="s">
        <v>73</v>
      </c>
      <c r="D33" s="2" t="s">
        <v>34</v>
      </c>
      <c r="E33" s="9" t="n">
        <v>46188</v>
      </c>
      <c r="F33" s="2" t="n">
        <v>72</v>
      </c>
      <c r="G33" s="2" t="str">
        <f aca="false">IF(F33&gt;=50,"PASS",IF(F33&gt;0,"FAIL", "ABSENT"))</f>
        <v>PASS</v>
      </c>
      <c r="H33" s="2" t="n">
        <v>64.7</v>
      </c>
      <c r="I33" s="2" t="str">
        <f aca="false">IF(H33&gt;=50,"PASS",IF(H33&gt;0,"FAIL", "ABSENT"))</f>
        <v>PASS</v>
      </c>
      <c r="J33" s="2" t="n">
        <v>75.5</v>
      </c>
      <c r="K33" s="2" t="str">
        <f aca="false">IF(J33&gt;=50,"PASS",IF(J33&gt;0,"FAIL", "ABSENT"))</f>
        <v>PASS</v>
      </c>
      <c r="L33" s="2" t="n">
        <v>59</v>
      </c>
      <c r="M33" s="2" t="str">
        <f aca="false">IF(L33&gt;=50,"PASS",IF(L33&gt;0,"FAIL", "ABSENT"))</f>
        <v>PASS</v>
      </c>
      <c r="N33" s="2" t="n">
        <v>23</v>
      </c>
      <c r="O33" s="2" t="str">
        <f aca="false">IF(N33&gt;=25,"PASS",IF(N33&gt;0,"FAIL", "ABSENT"))</f>
        <v>FAIL</v>
      </c>
      <c r="P33" s="10" t="n">
        <f aca="false">F33+H33+J33+L33+N33</f>
        <v>294.2</v>
      </c>
      <c r="Q33" s="2" t="str">
        <f aca="false">IF(R33&gt;=50,"PASS",IF(R33&gt;0,"FAIL","ABSENT"))</f>
        <v>PASS</v>
      </c>
      <c r="R33" s="11" t="n">
        <f aca="false">P33/450*100</f>
        <v>65.3777777777778</v>
      </c>
    </row>
    <row r="34" customFormat="false" ht="15.8" hidden="false" customHeight="false" outlineLevel="0" collapsed="false">
      <c r="A34" s="8" t="n">
        <v>3733387</v>
      </c>
      <c r="B34" s="2" t="s">
        <v>74</v>
      </c>
      <c r="C34" s="2" t="s">
        <v>75</v>
      </c>
      <c r="D34" s="2" t="s">
        <v>34</v>
      </c>
      <c r="E34" s="9" t="n">
        <v>46188</v>
      </c>
      <c r="F34" s="2" t="n">
        <v>77.2</v>
      </c>
      <c r="G34" s="2" t="str">
        <f aca="false">IF(F34&gt;=50,"PASS",IF(F34&gt;0,"FAIL", "ABSENT"))</f>
        <v>PASS</v>
      </c>
      <c r="H34" s="2" t="n">
        <v>65.7</v>
      </c>
      <c r="I34" s="2" t="str">
        <f aca="false">IF(H34&gt;=50,"PASS",IF(H34&gt;0,"FAIL", "ABSENT"))</f>
        <v>PASS</v>
      </c>
      <c r="J34" s="2" t="n">
        <v>64</v>
      </c>
      <c r="K34" s="2" t="str">
        <f aca="false">IF(J34&gt;=50,"PASS",IF(J34&gt;0,"FAIL", "ABSENT"))</f>
        <v>PASS</v>
      </c>
      <c r="L34" s="2" t="n">
        <v>38</v>
      </c>
      <c r="M34" s="2" t="str">
        <f aca="false">IF(L34&gt;=50,"PASS",IF(L34&gt;0,"FAIL", "ABSENT"))</f>
        <v>FAIL</v>
      </c>
      <c r="N34" s="2" t="n">
        <v>26</v>
      </c>
      <c r="O34" s="2" t="str">
        <f aca="false">IF(N34&gt;=25,"PASS",IF(N34&gt;0,"FAIL", "ABSENT"))</f>
        <v>PASS</v>
      </c>
      <c r="P34" s="10" t="n">
        <f aca="false">F34+H34+J34+L34+N34</f>
        <v>270.9</v>
      </c>
      <c r="Q34" s="2" t="str">
        <f aca="false">IF(R34&gt;=50,"PASS",IF(R34&gt;0,"FAIL","ABSENT"))</f>
        <v>PASS</v>
      </c>
      <c r="R34" s="11" t="n">
        <f aca="false">P34/450*100</f>
        <v>60.2</v>
      </c>
    </row>
    <row r="35" customFormat="false" ht="15.8" hidden="false" customHeight="false" outlineLevel="0" collapsed="false">
      <c r="A35" s="8" t="n">
        <v>3733387</v>
      </c>
      <c r="B35" s="2" t="s">
        <v>76</v>
      </c>
      <c r="C35" s="2" t="s">
        <v>77</v>
      </c>
      <c r="D35" s="2" t="s">
        <v>34</v>
      </c>
      <c r="E35" s="9" t="n">
        <v>46188</v>
      </c>
      <c r="F35" s="2" t="n">
        <v>70</v>
      </c>
      <c r="G35" s="2" t="str">
        <f aca="false">IF(F35&gt;=50,"PASS",IF(F35&gt;0,"FAIL", "ABSENT"))</f>
        <v>PASS</v>
      </c>
      <c r="H35" s="2" t="n">
        <v>69.9</v>
      </c>
      <c r="I35" s="2" t="str">
        <f aca="false">IF(H35&gt;=50,"PASS",IF(H35&gt;0,"FAIL", "ABSENT"))</f>
        <v>PASS</v>
      </c>
      <c r="J35" s="2" t="n">
        <v>71.6</v>
      </c>
      <c r="K35" s="2" t="str">
        <f aca="false">IF(J35&gt;=50,"PASS",IF(J35&gt;0,"FAIL", "ABSENT"))</f>
        <v>PASS</v>
      </c>
      <c r="L35" s="2" t="n">
        <v>64</v>
      </c>
      <c r="M35" s="2" t="str">
        <f aca="false">IF(L35&gt;=50,"PASS",IF(L35&gt;0,"FAIL", "ABSENT"))</f>
        <v>PASS</v>
      </c>
      <c r="N35" s="2" t="n">
        <v>31</v>
      </c>
      <c r="O35" s="2" t="str">
        <f aca="false">IF(N35&gt;=25,"PASS",IF(N35&gt;0,"FAIL", "ABSENT"))</f>
        <v>PASS</v>
      </c>
      <c r="P35" s="10" t="n">
        <f aca="false">F35+H35+J35+L35+N35</f>
        <v>306.5</v>
      </c>
      <c r="Q35" s="2" t="str">
        <f aca="false">IF(R35&gt;=50,"PASS",IF(R35&gt;0,"FAIL","ABSENT"))</f>
        <v>PASS</v>
      </c>
      <c r="R35" s="11" t="n">
        <f aca="false">P35/450*100</f>
        <v>68.1111111111111</v>
      </c>
    </row>
    <row r="36" customFormat="false" ht="15.8" hidden="false" customHeight="false" outlineLevel="0" collapsed="false">
      <c r="A36" s="8" t="n">
        <v>3733387</v>
      </c>
      <c r="B36" s="2" t="s">
        <v>78</v>
      </c>
      <c r="C36" s="2" t="s">
        <v>79</v>
      </c>
      <c r="D36" s="2" t="s">
        <v>34</v>
      </c>
      <c r="E36" s="9" t="n">
        <v>46188</v>
      </c>
      <c r="F36" s="2" t="n">
        <v>67.2</v>
      </c>
      <c r="G36" s="2" t="str">
        <f aca="false">IF(F36&gt;=50,"PASS",IF(F36&gt;0,"FAIL", "ABSENT"))</f>
        <v>PASS</v>
      </c>
      <c r="H36" s="2" t="n">
        <v>67.7</v>
      </c>
      <c r="I36" s="2" t="str">
        <f aca="false">IF(H36&gt;=50,"PASS",IF(H36&gt;0,"FAIL", "ABSENT"))</f>
        <v>PASS</v>
      </c>
      <c r="J36" s="2" t="n">
        <v>71</v>
      </c>
      <c r="K36" s="2" t="str">
        <f aca="false">IF(J36&gt;=50,"PASS",IF(J36&gt;0,"FAIL", "ABSENT"))</f>
        <v>PASS</v>
      </c>
      <c r="L36" s="2" t="n">
        <v>66.2</v>
      </c>
      <c r="M36" s="2" t="str">
        <f aca="false">IF(L36&gt;=50,"PASS",IF(L36&gt;0,"FAIL", "ABSENT"))</f>
        <v>PASS</v>
      </c>
      <c r="N36" s="2" t="n">
        <v>34</v>
      </c>
      <c r="O36" s="2" t="str">
        <f aca="false">IF(N36&gt;=25,"PASS",IF(N36&gt;0,"FAIL", "ABSENT"))</f>
        <v>PASS</v>
      </c>
      <c r="P36" s="10" t="n">
        <f aca="false">F36+H36+J36+L36+N36</f>
        <v>306.1</v>
      </c>
      <c r="Q36" s="2" t="str">
        <f aca="false">IF(R36&gt;=50,"PASS",IF(R36&gt;0,"FAIL","ABSENT"))</f>
        <v>PASS</v>
      </c>
      <c r="R36" s="11" t="n">
        <f aca="false">P36/450*100</f>
        <v>68.0222222222222</v>
      </c>
    </row>
    <row r="37" customFormat="false" ht="15.8" hidden="false" customHeight="false" outlineLevel="0" collapsed="false">
      <c r="A37" s="8" t="n">
        <v>3733387</v>
      </c>
      <c r="B37" s="2" t="s">
        <v>80</v>
      </c>
      <c r="C37" s="2" t="s">
        <v>81</v>
      </c>
      <c r="D37" s="2" t="s">
        <v>34</v>
      </c>
      <c r="E37" s="9" t="n">
        <v>46188</v>
      </c>
      <c r="F37" s="2" t="n">
        <v>77.3</v>
      </c>
      <c r="G37" s="2" t="str">
        <f aca="false">IF(F37&gt;=50,"PASS",IF(F37&gt;0,"FAIL", "ABSENT"))</f>
        <v>PASS</v>
      </c>
      <c r="H37" s="2" t="n">
        <v>66</v>
      </c>
      <c r="I37" s="2" t="str">
        <f aca="false">IF(H37&gt;=50,"PASS",IF(H37&gt;0,"FAIL", "ABSENT"))</f>
        <v>PASS</v>
      </c>
      <c r="J37" s="2" t="n">
        <v>76.6</v>
      </c>
      <c r="K37" s="2" t="str">
        <f aca="false">IF(J37&gt;=50,"PASS",IF(J37&gt;0,"FAIL", "ABSENT"))</f>
        <v>PASS</v>
      </c>
      <c r="L37" s="2" t="n">
        <v>68</v>
      </c>
      <c r="M37" s="2" t="str">
        <f aca="false">IF(L37&gt;=50,"PASS",IF(L37&gt;0,"FAIL", "ABSENT"))</f>
        <v>PASS</v>
      </c>
      <c r="N37" s="2" t="n">
        <v>33</v>
      </c>
      <c r="O37" s="2" t="str">
        <f aca="false">IF(N37&gt;=25,"PASS",IF(N37&gt;0,"FAIL", "ABSENT"))</f>
        <v>PASS</v>
      </c>
      <c r="P37" s="10" t="n">
        <f aca="false">F37+H37+J37+L37+N37</f>
        <v>320.9</v>
      </c>
      <c r="Q37" s="2" t="str">
        <f aca="false">IF(R37&gt;=50,"PASS",IF(R37&gt;0,"FAIL","ABSENT"))</f>
        <v>PASS</v>
      </c>
      <c r="R37" s="11" t="n">
        <f aca="false">P37/450*100</f>
        <v>71.3111111111111</v>
      </c>
    </row>
    <row r="38" customFormat="false" ht="15.8" hidden="false" customHeight="false" outlineLevel="0" collapsed="false">
      <c r="A38" s="8" t="n">
        <v>3733387</v>
      </c>
      <c r="B38" s="2" t="s">
        <v>82</v>
      </c>
      <c r="C38" s="2" t="s">
        <v>83</v>
      </c>
      <c r="D38" s="2" t="s">
        <v>34</v>
      </c>
      <c r="E38" s="9" t="n">
        <v>46188</v>
      </c>
      <c r="F38" s="2" t="n">
        <v>74.2</v>
      </c>
      <c r="G38" s="2" t="str">
        <f aca="false">IF(F38&gt;=50,"PASS",IF(F38&gt;0,"FAIL", "ABSENT"))</f>
        <v>PASS</v>
      </c>
      <c r="H38" s="2" t="n">
        <v>72.9</v>
      </c>
      <c r="I38" s="2" t="str">
        <f aca="false">IF(H38&gt;=50,"PASS",IF(H38&gt;0,"FAIL", "ABSENT"))</f>
        <v>PASS</v>
      </c>
      <c r="J38" s="2" t="n">
        <v>59.5</v>
      </c>
      <c r="K38" s="2" t="str">
        <f aca="false">IF(J38&gt;=50,"PASS",IF(J38&gt;0,"FAIL", "ABSENT"))</f>
        <v>PASS</v>
      </c>
      <c r="L38" s="2" t="n">
        <v>64</v>
      </c>
      <c r="M38" s="2" t="str">
        <f aca="false">IF(L38&gt;=50,"PASS",IF(L38&gt;0,"FAIL", "ABSENT"))</f>
        <v>PASS</v>
      </c>
      <c r="N38" s="2" t="n">
        <v>25</v>
      </c>
      <c r="O38" s="2" t="str">
        <f aca="false">IF(N38&gt;=25,"PASS",IF(N38&gt;0,"FAIL", "ABSENT"))</f>
        <v>PASS</v>
      </c>
      <c r="P38" s="10" t="n">
        <f aca="false">F38+H38+J38+L38+N38</f>
        <v>295.6</v>
      </c>
      <c r="Q38" s="2" t="str">
        <f aca="false">IF(R38&gt;=50,"PASS",IF(R38&gt;0,"FAIL","ABSENT"))</f>
        <v>PASS</v>
      </c>
      <c r="R38" s="11" t="n">
        <f aca="false">P38/450*100</f>
        <v>65.6888888888889</v>
      </c>
    </row>
    <row r="39" customFormat="false" ht="15.8" hidden="false" customHeight="false" outlineLevel="0" collapsed="false">
      <c r="A39" s="8" t="n">
        <v>3733387</v>
      </c>
      <c r="B39" s="2" t="s">
        <v>84</v>
      </c>
      <c r="C39" s="2" t="s">
        <v>85</v>
      </c>
      <c r="D39" s="2" t="s">
        <v>34</v>
      </c>
      <c r="E39" s="9" t="n">
        <v>46188</v>
      </c>
      <c r="F39" s="2" t="n">
        <v>73</v>
      </c>
      <c r="G39" s="2" t="str">
        <f aca="false">IF(F39&gt;=50,"PASS",IF(F39&gt;0,"FAIL", "ABSENT"))</f>
        <v>PASS</v>
      </c>
      <c r="H39" s="2" t="n">
        <v>54.7</v>
      </c>
      <c r="I39" s="2" t="str">
        <f aca="false">IF(H39&gt;=50,"PASS",IF(H39&gt;0,"FAIL", "ABSENT"))</f>
        <v>PASS</v>
      </c>
      <c r="J39" s="2" t="n">
        <v>66</v>
      </c>
      <c r="K39" s="2" t="str">
        <f aca="false">IF(J39&gt;=50,"PASS",IF(J39&gt;0,"FAIL", "ABSENT"))</f>
        <v>PASS</v>
      </c>
      <c r="L39" s="2" t="n">
        <v>68</v>
      </c>
      <c r="M39" s="2" t="str">
        <f aca="false">IF(L39&gt;=50,"PASS",IF(L39&gt;0,"FAIL", "ABSENT"))</f>
        <v>PASS</v>
      </c>
      <c r="N39" s="2" t="n">
        <v>31</v>
      </c>
      <c r="O39" s="2" t="str">
        <f aca="false">IF(N39&gt;=25,"PASS",IF(N39&gt;0,"FAIL", "ABSENT"))</f>
        <v>PASS</v>
      </c>
      <c r="P39" s="10" t="n">
        <f aca="false">F39+H39+J39+L39+N39</f>
        <v>292.7</v>
      </c>
      <c r="Q39" s="2" t="str">
        <f aca="false">IF(R39&gt;=50,"PASS",IF(R39&gt;0,"FAIL","ABSENT"))</f>
        <v>PASS</v>
      </c>
      <c r="R39" s="11" t="n">
        <f aca="false">P39/450*100</f>
        <v>65.0444444444444</v>
      </c>
    </row>
    <row r="40" customFormat="false" ht="15.8" hidden="false" customHeight="false" outlineLevel="0" collapsed="false">
      <c r="A40" s="8" t="n">
        <v>3733387</v>
      </c>
      <c r="B40" s="2" t="s">
        <v>86</v>
      </c>
      <c r="C40" s="2" t="s">
        <v>87</v>
      </c>
      <c r="D40" s="2" t="s">
        <v>34</v>
      </c>
      <c r="E40" s="9" t="n">
        <v>46188</v>
      </c>
      <c r="F40" s="2" t="n">
        <v>65</v>
      </c>
      <c r="G40" s="2" t="str">
        <f aca="false">IF(F40&gt;=50,"PASS",IF(F40&gt;0,"FAIL", "ABSENT"))</f>
        <v>PASS</v>
      </c>
      <c r="H40" s="2" t="n">
        <v>66.7</v>
      </c>
      <c r="I40" s="2" t="str">
        <f aca="false">IF(H40&gt;=50,"PASS",IF(H40&gt;0,"FAIL", "ABSENT"))</f>
        <v>PASS</v>
      </c>
      <c r="J40" s="2" t="n">
        <v>75.5</v>
      </c>
      <c r="K40" s="2" t="str">
        <f aca="false">IF(J40&gt;=50,"PASS",IF(J40&gt;0,"FAIL", "ABSENT"))</f>
        <v>PASS</v>
      </c>
      <c r="L40" s="2" t="n">
        <v>59.9</v>
      </c>
      <c r="M40" s="2" t="str">
        <f aca="false">IF(L40&gt;=50,"PASS",IF(L40&gt;0,"FAIL", "ABSENT"))</f>
        <v>PASS</v>
      </c>
      <c r="N40" s="2" t="n">
        <v>33</v>
      </c>
      <c r="O40" s="2" t="str">
        <f aca="false">IF(N40&gt;=25,"PASS",IF(N40&gt;0,"FAIL", "ABSENT"))</f>
        <v>PASS</v>
      </c>
      <c r="P40" s="10" t="n">
        <f aca="false">F40+H40+J40+L40+N40</f>
        <v>300.1</v>
      </c>
      <c r="Q40" s="2" t="str">
        <f aca="false">IF(R40&gt;=50,"PASS",IF(R40&gt;0,"FAIL","ABSENT"))</f>
        <v>PASS</v>
      </c>
      <c r="R40" s="11" t="n">
        <f aca="false">P40/450*100</f>
        <v>66.6888888888889</v>
      </c>
    </row>
    <row r="41" customFormat="false" ht="15.8" hidden="false" customHeight="false" outlineLevel="0" collapsed="false">
      <c r="A41" s="8" t="n">
        <v>3733387</v>
      </c>
      <c r="B41" s="2" t="s">
        <v>88</v>
      </c>
      <c r="C41" s="2" t="s">
        <v>89</v>
      </c>
      <c r="D41" s="2" t="s">
        <v>34</v>
      </c>
      <c r="E41" s="9" t="n">
        <v>46188</v>
      </c>
      <c r="F41" s="2" t="n">
        <v>69.1</v>
      </c>
      <c r="G41" s="2" t="str">
        <f aca="false">IF(F41&gt;=50,"PASS",IF(F41&gt;0,"FAIL", "ABSENT"))</f>
        <v>PASS</v>
      </c>
      <c r="H41" s="2" t="n">
        <v>64.9</v>
      </c>
      <c r="I41" s="2" t="str">
        <f aca="false">IF(H41&gt;=50,"PASS",IF(H41&gt;0,"FAIL", "ABSENT"))</f>
        <v>PASS</v>
      </c>
      <c r="J41" s="2" t="n">
        <v>63.6</v>
      </c>
      <c r="K41" s="2" t="str">
        <f aca="false">IF(J41&gt;=50,"PASS",IF(J41&gt;0,"FAIL", "ABSENT"))</f>
        <v>PASS</v>
      </c>
      <c r="L41" s="2" t="n">
        <v>67</v>
      </c>
      <c r="M41" s="2" t="str">
        <f aca="false">IF(L41&gt;=50,"PASS",IF(L41&gt;0,"FAIL", "ABSENT"))</f>
        <v>PASS</v>
      </c>
      <c r="N41" s="2" t="n">
        <v>30</v>
      </c>
      <c r="O41" s="2" t="str">
        <f aca="false">IF(N41&gt;=25,"PASS",IF(N41&gt;0,"FAIL", "ABSENT"))</f>
        <v>PASS</v>
      </c>
      <c r="P41" s="10" t="n">
        <f aca="false">F41+H41+J41+L41+N41</f>
        <v>294.6</v>
      </c>
      <c r="Q41" s="2" t="str">
        <f aca="false">IF(R41&gt;=50,"PASS",IF(R41&gt;0,"FAIL","ABSENT"))</f>
        <v>PASS</v>
      </c>
      <c r="R41" s="11" t="n">
        <f aca="false">P41/450*100</f>
        <v>65.4666666666667</v>
      </c>
    </row>
    <row r="42" customFormat="false" ht="15.8" hidden="false" customHeight="false" outlineLevel="0" collapsed="false">
      <c r="A42" s="8" t="n">
        <v>3733387</v>
      </c>
      <c r="B42" s="2" t="s">
        <v>90</v>
      </c>
      <c r="C42" s="2" t="s">
        <v>91</v>
      </c>
      <c r="D42" s="2" t="s">
        <v>34</v>
      </c>
      <c r="E42" s="9" t="n">
        <v>46188</v>
      </c>
      <c r="F42" s="2" t="n">
        <v>66</v>
      </c>
      <c r="G42" s="2" t="str">
        <f aca="false">IF(F42&gt;=50,"PASS",IF(F42&gt;0,"FAIL", "ABSENT"))</f>
        <v>PASS</v>
      </c>
      <c r="H42" s="2" t="n">
        <v>53.3</v>
      </c>
      <c r="I42" s="2" t="str">
        <f aca="false">IF(H42&gt;=50,"PASS",IF(H42&gt;0,"FAIL", "ABSENT"))</f>
        <v>PASS</v>
      </c>
      <c r="J42" s="2" t="n">
        <v>97</v>
      </c>
      <c r="K42" s="2" t="str">
        <f aca="false">IF(J42&gt;=50,"PASS",IF(J42&gt;0,"FAIL", "ABSENT"))</f>
        <v>PASS</v>
      </c>
      <c r="L42" s="2" t="n">
        <v>90</v>
      </c>
      <c r="M42" s="2" t="str">
        <f aca="false">IF(L42&gt;=50,"PASS",IF(L42&gt;0,"FAIL", "ABSENT"))</f>
        <v>PASS</v>
      </c>
      <c r="N42" s="2" t="n">
        <v>45</v>
      </c>
      <c r="O42" s="2" t="str">
        <f aca="false">IF(N42&gt;=25,"PASS",IF(N42&gt;0,"FAIL", "ABSENT"))</f>
        <v>PASS</v>
      </c>
      <c r="P42" s="10" t="n">
        <f aca="false">F42+H42+J42+L42+N42</f>
        <v>351.3</v>
      </c>
      <c r="Q42" s="2" t="str">
        <f aca="false">IF(R42&gt;=50,"PASS",IF(R42&gt;0,"FAIL","ABSENT"))</f>
        <v>PASS</v>
      </c>
      <c r="R42" s="11" t="n">
        <f aca="false">P42/450*100</f>
        <v>78.0666666666667</v>
      </c>
    </row>
    <row r="43" customFormat="false" ht="15.8" hidden="false" customHeight="false" outlineLevel="0" collapsed="false">
      <c r="A43" s="8" t="n">
        <v>3733387</v>
      </c>
      <c r="B43" s="2" t="s">
        <v>92</v>
      </c>
      <c r="C43" s="2" t="s">
        <v>93</v>
      </c>
      <c r="D43" s="2" t="s">
        <v>45</v>
      </c>
      <c r="E43" s="9" t="n">
        <v>46188</v>
      </c>
      <c r="F43" s="2" t="n">
        <v>72.1</v>
      </c>
      <c r="G43" s="2" t="str">
        <f aca="false">IF(F43&gt;=50,"PASS",IF(F43&gt;0,"FAIL", "ABSENT"))</f>
        <v>PASS</v>
      </c>
      <c r="H43" s="2" t="n">
        <v>62.9</v>
      </c>
      <c r="I43" s="2" t="str">
        <f aca="false">IF(H43&gt;=50,"PASS",IF(H43&gt;0,"FAIL", "ABSENT"))</f>
        <v>PASS</v>
      </c>
      <c r="J43" s="2" t="n">
        <v>62.5</v>
      </c>
      <c r="K43" s="2" t="str">
        <f aca="false">IF(J43&gt;=50,"PASS",IF(J43&gt;0,"FAIL", "ABSENT"))</f>
        <v>PASS</v>
      </c>
      <c r="L43" s="2" t="n">
        <v>68</v>
      </c>
      <c r="M43" s="2" t="str">
        <f aca="false">IF(L43&gt;=50,"PASS",IF(L43&gt;0,"FAIL", "ABSENT"))</f>
        <v>PASS</v>
      </c>
      <c r="N43" s="2" t="n">
        <v>37</v>
      </c>
      <c r="O43" s="2" t="str">
        <f aca="false">IF(N43&gt;=25,"PASS",IF(N43&gt;0,"FAIL", "ABSENT"))</f>
        <v>PASS</v>
      </c>
      <c r="P43" s="10" t="n">
        <f aca="false">F43+H43+J43+L43+N43</f>
        <v>302.5</v>
      </c>
      <c r="Q43" s="2" t="str">
        <f aca="false">IF(R43&gt;=50,"PASS",IF(R43&gt;0,"FAIL","ABSENT"))</f>
        <v>PASS</v>
      </c>
      <c r="R43" s="11" t="n">
        <f aca="false">P43/450*100</f>
        <v>67.2222222222222</v>
      </c>
    </row>
  </sheetData>
  <conditionalFormatting sqref="E14:E43 P14:P43">
    <cfRule type="cellIs" priority="2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M29" activeCellId="0" sqref="M29"/>
    </sheetView>
  </sheetViews>
  <sheetFormatPr defaultColWidth="8.54296875" defaultRowHeight="15" zeroHeight="false" outlineLevelRow="0" outlineLevelCol="0"/>
  <cols>
    <col collapsed="false" customWidth="true" hidden="false" outlineLevel="0" max="1" min="1" style="12" width="15.71"/>
    <col collapsed="false" customWidth="true" hidden="false" outlineLevel="0" max="2" min="2" style="12" width="13"/>
    <col collapsed="false" customWidth="true" hidden="false" outlineLevel="0" max="5" min="4" style="12" width="10.85"/>
    <col collapsed="false" customWidth="true" hidden="false" outlineLevel="0" max="6" min="6" style="12" width="10.28"/>
    <col collapsed="false" customWidth="true" hidden="false" outlineLevel="0" max="7" min="7" style="12" width="10.43"/>
  </cols>
  <sheetData>
    <row r="1" customFormat="false" ht="14.45" hidden="false" customHeight="true" outlineLevel="0" collapsed="false">
      <c r="A1" s="13" t="s">
        <v>94</v>
      </c>
      <c r="B1" s="13"/>
      <c r="C1" s="13"/>
      <c r="D1" s="13"/>
      <c r="E1" s="13"/>
      <c r="F1" s="13"/>
      <c r="G1" s="13"/>
    </row>
    <row r="2" customFormat="false" ht="14.45" hidden="false" customHeight="false" outlineLevel="0" collapsed="false">
      <c r="A2" s="14" t="s">
        <v>95</v>
      </c>
      <c r="B2" s="14"/>
      <c r="C2" s="14"/>
      <c r="D2" s="14"/>
      <c r="E2" s="14"/>
      <c r="F2" s="14"/>
      <c r="G2" s="14"/>
    </row>
    <row r="3" customFormat="false" ht="15" hidden="false" customHeight="false" outlineLevel="0" collapsed="false">
      <c r="A3" s="15" t="s">
        <v>96</v>
      </c>
      <c r="B3" s="16" t="n">
        <f aca="false">score_sheet!B10</f>
        <v>3733387</v>
      </c>
      <c r="C3" s="16"/>
      <c r="D3" s="16"/>
      <c r="E3" s="16"/>
      <c r="F3" s="16"/>
      <c r="G3" s="16"/>
    </row>
    <row r="4" customFormat="false" ht="25.5" hidden="false" customHeight="false" outlineLevel="0" collapsed="false">
      <c r="A4" s="17" t="s">
        <v>97</v>
      </c>
      <c r="B4" s="18" t="str">
        <f aca="false">score_sheet!B6</f>
        <v>TPA</v>
      </c>
      <c r="C4" s="18"/>
      <c r="D4" s="19" t="s">
        <v>98</v>
      </c>
      <c r="E4" s="20" t="n">
        <v>0.5</v>
      </c>
      <c r="F4" s="20"/>
      <c r="G4" s="20"/>
    </row>
    <row r="5" customFormat="false" ht="15" hidden="false" customHeight="false" outlineLevel="0" collapsed="false">
      <c r="A5" s="21" t="s">
        <v>22</v>
      </c>
      <c r="B5" s="22" t="n">
        <f aca="false">score_sheet!E14</f>
        <v>46188</v>
      </c>
      <c r="C5" s="22"/>
      <c r="D5" s="22"/>
      <c r="E5" s="22"/>
      <c r="F5" s="22"/>
      <c r="G5" s="22"/>
    </row>
    <row r="6" customFormat="false" ht="15" hidden="false" customHeight="false" outlineLevel="0" collapsed="false">
      <c r="A6" s="23" t="s">
        <v>99</v>
      </c>
      <c r="B6" s="24" t="str">
        <f aca="false">score_sheet!B3</f>
        <v>Digital Mitra</v>
      </c>
      <c r="C6" s="25"/>
      <c r="D6" s="26"/>
      <c r="E6" s="26"/>
      <c r="F6" s="26"/>
      <c r="G6" s="27"/>
    </row>
    <row r="7" customFormat="false" ht="14.45" hidden="false" customHeight="true" outlineLevel="0" collapsed="false">
      <c r="A7" s="15" t="s">
        <v>100</v>
      </c>
      <c r="C7" s="23" t="s">
        <v>29</v>
      </c>
      <c r="D7" s="28" t="s">
        <v>101</v>
      </c>
      <c r="E7" s="28"/>
      <c r="F7" s="13" t="s">
        <v>102</v>
      </c>
      <c r="G7" s="13" t="s">
        <v>103</v>
      </c>
    </row>
    <row r="8" customFormat="false" ht="15" hidden="false" customHeight="false" outlineLevel="0" collapsed="false">
      <c r="A8" s="15"/>
      <c r="B8" s="29" t="s">
        <v>104</v>
      </c>
      <c r="C8" s="30" t="n">
        <f aca="false">COUNT(score_sheet!R14:R43)</f>
        <v>30</v>
      </c>
      <c r="D8" s="28"/>
      <c r="E8" s="28"/>
      <c r="F8" s="31" t="n">
        <f aca="false">COUNTIF(score_sheet!D14:D43,"M")</f>
        <v>23</v>
      </c>
      <c r="G8" s="31" t="n">
        <f aca="false">COUNTIF(score_sheet!D14:D43,"F")</f>
        <v>7</v>
      </c>
    </row>
    <row r="9" customFormat="false" ht="15" hidden="false" customHeight="false" outlineLevel="0" collapsed="false">
      <c r="A9" s="15"/>
      <c r="B9" s="29" t="s">
        <v>105</v>
      </c>
      <c r="C9" s="30" t="n">
        <f aca="false">COUNTIF(score_sheet!Q14:Q43,"PASS")+COUNTIF(score_sheet!Q14:Q43,"FAIL")</f>
        <v>30</v>
      </c>
      <c r="D9" s="28"/>
      <c r="E9" s="28"/>
      <c r="F9" s="31" t="n">
        <f aca="false">COUNTIFS(score_sheet!$D$14:$D$43,"M",score_sheet!$Q$14:$Q$43,"PASS")+COUNTIFS(score_sheet!$D$14:$D$43,"M",score_sheet!$Q$14:$Q$43,"FAIL")</f>
        <v>23</v>
      </c>
      <c r="G9" s="31" t="n">
        <f aca="false">COUNTIFS(score_sheet!$D$14:$D$43,"F",score_sheet!$Q$14:$Q$43,"PASS")+COUNTIFS(score_sheet!$D$14:$D$43,"F",score_sheet!$Q$14:$Q$43,"FAIL")</f>
        <v>7</v>
      </c>
    </row>
    <row r="10" customFormat="false" ht="15" hidden="false" customHeight="false" outlineLevel="0" collapsed="false">
      <c r="A10" s="15"/>
      <c r="B10" s="29" t="s">
        <v>106</v>
      </c>
      <c r="C10" s="30" t="n">
        <f aca="false">COUNTIF(score_sheet!Q14:Q43,"PASS")</f>
        <v>29</v>
      </c>
      <c r="D10" s="28"/>
      <c r="E10" s="28"/>
      <c r="F10" s="31" t="n">
        <f aca="false">COUNTIFS(score_sheet!$D$14:$D$43,"M",score_sheet!$Q$14:$Q$43,"PASS")</f>
        <v>22</v>
      </c>
      <c r="G10" s="31" t="n">
        <f aca="false">COUNTIFS(score_sheet!$D$14:$D$43,"F",score_sheet!$Q$14:$Q$43,"PASS")</f>
        <v>7</v>
      </c>
    </row>
    <row r="11" customFormat="false" ht="14.45" hidden="false" customHeight="false" outlineLevel="0" collapsed="false">
      <c r="A11" s="14" t="s">
        <v>107</v>
      </c>
      <c r="B11" s="14"/>
      <c r="C11" s="14"/>
      <c r="D11" s="14"/>
      <c r="E11" s="14"/>
      <c r="F11" s="14"/>
      <c r="G11" s="14"/>
    </row>
    <row r="12" customFormat="false" ht="39" hidden="false" customHeight="false" outlineLevel="0" collapsed="false">
      <c r="A12" s="32"/>
      <c r="B12" s="13" t="s">
        <v>108</v>
      </c>
      <c r="C12" s="13" t="s">
        <v>109</v>
      </c>
      <c r="D12" s="13" t="s">
        <v>110</v>
      </c>
      <c r="E12" s="13" t="s">
        <v>111</v>
      </c>
      <c r="F12" s="13" t="s">
        <v>112</v>
      </c>
      <c r="G12" s="13" t="s">
        <v>113</v>
      </c>
    </row>
    <row r="13" customFormat="false" ht="15" hidden="false" customHeight="false" outlineLevel="0" collapsed="false">
      <c r="A13" s="33" t="s">
        <v>114</v>
      </c>
      <c r="B13" s="34" t="n">
        <f aca="false">$C$10/$C$9*100</f>
        <v>96.6666666666667</v>
      </c>
      <c r="C13" s="35" t="n">
        <f aca="false">AVERAGE(score_sheet!F$14:F$43)</f>
        <v>67.19</v>
      </c>
      <c r="D13" s="35" t="n">
        <f aca="false">MIN(score_sheet!F$14:F$43)</f>
        <v>29.6</v>
      </c>
      <c r="E13" s="36" t="n">
        <f aca="false">MAX(score_sheet!F$14:F$43)</f>
        <v>79</v>
      </c>
      <c r="F13" s="37" t="n">
        <f aca="false">MEDIAN(score_sheet!F$14:F$43)</f>
        <v>68.8</v>
      </c>
      <c r="G13" s="36" t="n">
        <f aca="false">STDEVP(score_sheet!F$14:F$43)</f>
        <v>9.04165729646212</v>
      </c>
    </row>
    <row r="14" customFormat="false" ht="15" hidden="false" customHeight="false" outlineLevel="0" collapsed="false">
      <c r="A14" s="33" t="s">
        <v>115</v>
      </c>
      <c r="B14" s="34" t="n">
        <f aca="false">$C$10/$C$9*100</f>
        <v>96.6666666666667</v>
      </c>
      <c r="C14" s="35" t="n">
        <f aca="false">AVERAGE(score_sheet!H$14:H$43)</f>
        <v>63.6733333333333</v>
      </c>
      <c r="D14" s="35" t="n">
        <f aca="false">MIN(score_sheet!H$14:H$43)</f>
        <v>29.1</v>
      </c>
      <c r="E14" s="36" t="n">
        <f aca="false">MAX(score_sheet!H$14:H$43)</f>
        <v>75.7</v>
      </c>
      <c r="F14" s="37" t="n">
        <f aca="false">MEDIAN(score_sheet!H$14:H$43)</f>
        <v>65.85</v>
      </c>
      <c r="G14" s="36" t="n">
        <f aca="false">STDEVP(score_sheet!H$14:H$43)</f>
        <v>8.69060540021363</v>
      </c>
    </row>
    <row r="15" customFormat="false" ht="15" hidden="false" customHeight="false" outlineLevel="0" collapsed="false">
      <c r="A15" s="33" t="s">
        <v>116</v>
      </c>
      <c r="B15" s="34" t="n">
        <f aca="false">$C$10/$C$9*100</f>
        <v>96.6666666666667</v>
      </c>
      <c r="C15" s="35" t="n">
        <f aca="false">AVERAGE(score_sheet!J$14:J$43)</f>
        <v>67.6</v>
      </c>
      <c r="D15" s="35" t="n">
        <f aca="false">MIN(score_sheet!J$14:J$43)</f>
        <v>32.9</v>
      </c>
      <c r="E15" s="36" t="n">
        <f aca="false">MAX(score_sheet!J$14:J$43)</f>
        <v>97</v>
      </c>
      <c r="F15" s="37" t="n">
        <f aca="false">MEDIAN(score_sheet!J$14:J$43)</f>
        <v>66.75</v>
      </c>
      <c r="G15" s="36" t="n">
        <f aca="false">STDEVP(score_sheet!J$14:J$43)</f>
        <v>9.8022786466549</v>
      </c>
    </row>
    <row r="16" customFormat="false" ht="15" hidden="false" customHeight="false" outlineLevel="0" collapsed="false">
      <c r="A16" s="33" t="s">
        <v>117</v>
      </c>
      <c r="B16" s="34" t="n">
        <f aca="false">$C$10/$C$9*100</f>
        <v>96.6666666666667</v>
      </c>
      <c r="C16" s="35" t="n">
        <f aca="false">AVERAGE(score_sheet!L$14:L$43)</f>
        <v>63.1266666666667</v>
      </c>
      <c r="D16" s="35" t="n">
        <f aca="false">MIN(score_sheet!L$14:L$43)</f>
        <v>34.8</v>
      </c>
      <c r="E16" s="36" t="n">
        <f aca="false">MAX(score_sheet!L$14:L$43)</f>
        <v>90</v>
      </c>
      <c r="F16" s="37" t="n">
        <f aca="false">MEDIAN(score_sheet!L$14:L$43)</f>
        <v>65</v>
      </c>
      <c r="G16" s="36" t="n">
        <f aca="false">STDEVP(score_sheet!L$14:L$43)</f>
        <v>9.93280535509592</v>
      </c>
    </row>
    <row r="17" customFormat="false" ht="15" hidden="false" customHeight="false" outlineLevel="0" collapsed="false">
      <c r="A17" s="33" t="s">
        <v>118</v>
      </c>
      <c r="B17" s="34" t="n">
        <f aca="false">$C$10/$C$9*100</f>
        <v>96.6666666666667</v>
      </c>
      <c r="C17" s="35" t="n">
        <f aca="false">AVERAGE(score_sheet!N$14:N$43)</f>
        <v>30.5666666666667</v>
      </c>
      <c r="D17" s="35" t="n">
        <f aca="false">MIN(score_sheet!N$14:N$43)</f>
        <v>8</v>
      </c>
      <c r="E17" s="36" t="n">
        <f aca="false">MAX(score_sheet!N$14:N$43)</f>
        <v>45</v>
      </c>
      <c r="F17" s="37" t="n">
        <f aca="false">MEDIAN(score_sheet!N$14:N$43)</f>
        <v>33</v>
      </c>
      <c r="G17" s="36" t="n">
        <f aca="false">STDEVP(score_sheet!N$14:N$43)</f>
        <v>6.64672016026618</v>
      </c>
    </row>
    <row r="18" customFormat="false" ht="15" hidden="false" customHeight="false" outlineLevel="0" collapsed="false">
      <c r="A18" s="14" t="s">
        <v>119</v>
      </c>
      <c r="B18" s="14"/>
      <c r="C18" s="14"/>
      <c r="D18" s="14"/>
      <c r="E18" s="14"/>
      <c r="F18" s="14"/>
      <c r="G18" s="14"/>
    </row>
    <row r="19" customFormat="false" ht="14.45" hidden="false" customHeight="false" outlineLevel="0" collapsed="false">
      <c r="A19" s="38"/>
      <c r="B19" s="39" t="n">
        <v>1</v>
      </c>
      <c r="C19" s="39" t="n">
        <v>2</v>
      </c>
      <c r="D19" s="39" t="n">
        <v>3</v>
      </c>
      <c r="E19" s="39" t="n">
        <v>4</v>
      </c>
      <c r="F19" s="39" t="n">
        <v>5</v>
      </c>
      <c r="G19" s="39" t="n">
        <v>6</v>
      </c>
    </row>
    <row r="20" customFormat="false" ht="15" hidden="false" customHeight="true" outlineLevel="0" collapsed="false">
      <c r="A20" s="40" t="s">
        <v>114</v>
      </c>
      <c r="B20" s="41" t="s">
        <v>120</v>
      </c>
      <c r="C20" s="41" t="s">
        <v>121</v>
      </c>
      <c r="D20" s="41" t="s">
        <v>122</v>
      </c>
      <c r="E20" s="41" t="s">
        <v>123</v>
      </c>
      <c r="F20" s="41" t="s">
        <v>124</v>
      </c>
      <c r="G20" s="41" t="s">
        <v>125</v>
      </c>
    </row>
    <row r="21" customFormat="false" ht="13.8" hidden="false" customHeight="false" outlineLevel="0" collapsed="false">
      <c r="A21" s="40"/>
      <c r="B21" s="42"/>
      <c r="C21" s="42"/>
      <c r="D21" s="42"/>
      <c r="E21" s="42"/>
      <c r="F21" s="42"/>
      <c r="G21" s="42"/>
    </row>
    <row r="22" customFormat="false" ht="13.8" hidden="false" customHeight="false" outlineLevel="0" collapsed="false">
      <c r="A22" s="40"/>
      <c r="B22" s="42"/>
      <c r="C22" s="42"/>
      <c r="D22" s="42"/>
      <c r="E22" s="42"/>
      <c r="F22" s="42"/>
      <c r="G22" s="42"/>
    </row>
    <row r="23" customFormat="false" ht="15" hidden="false" customHeight="true" outlineLevel="0" collapsed="false">
      <c r="A23" s="40" t="s">
        <v>115</v>
      </c>
      <c r="B23" s="41" t="s">
        <v>126</v>
      </c>
      <c r="C23" s="41" t="s">
        <v>127</v>
      </c>
      <c r="D23" s="41" t="s">
        <v>128</v>
      </c>
      <c r="E23" s="41" t="s">
        <v>129</v>
      </c>
      <c r="F23" s="41" t="s">
        <v>130</v>
      </c>
      <c r="G23" s="41" t="s">
        <v>131</v>
      </c>
    </row>
    <row r="24" customFormat="false" ht="15" hidden="false" customHeight="false" outlineLevel="0" collapsed="false">
      <c r="A24" s="40"/>
      <c r="B24" s="41" t="s">
        <v>132</v>
      </c>
      <c r="C24" s="41" t="s">
        <v>133</v>
      </c>
      <c r="D24" s="43"/>
      <c r="E24" s="43"/>
      <c r="F24" s="43"/>
      <c r="G24" s="43"/>
    </row>
    <row r="25" customFormat="false" ht="13.8" hidden="false" customHeight="false" outlineLevel="0" collapsed="false">
      <c r="A25" s="40"/>
      <c r="B25" s="42"/>
      <c r="C25" s="42"/>
      <c r="D25" s="42"/>
      <c r="E25" s="42"/>
      <c r="F25" s="42"/>
      <c r="G25" s="42"/>
    </row>
    <row r="26" customFormat="false" ht="15" hidden="false" customHeight="true" outlineLevel="0" collapsed="false">
      <c r="A26" s="40" t="s">
        <v>116</v>
      </c>
      <c r="B26" s="41" t="s">
        <v>134</v>
      </c>
      <c r="C26" s="41" t="s">
        <v>135</v>
      </c>
      <c r="D26" s="41" t="s">
        <v>124</v>
      </c>
      <c r="E26" s="41" t="s">
        <v>131</v>
      </c>
      <c r="F26" s="41" t="s">
        <v>136</v>
      </c>
      <c r="G26" s="41" t="s">
        <v>132</v>
      </c>
    </row>
    <row r="27" customFormat="false" ht="15" hidden="false" customHeight="false" outlineLevel="0" collapsed="false">
      <c r="A27" s="40"/>
      <c r="B27" s="41" t="s">
        <v>120</v>
      </c>
      <c r="C27" s="41" t="s">
        <v>125</v>
      </c>
      <c r="D27" s="43"/>
      <c r="E27" s="43"/>
      <c r="F27" s="43"/>
      <c r="G27" s="43"/>
    </row>
    <row r="28" customFormat="false" ht="13.8" hidden="false" customHeight="false" outlineLevel="0" collapsed="false">
      <c r="A28" s="40"/>
      <c r="B28" s="42"/>
      <c r="C28" s="42"/>
      <c r="D28" s="42"/>
      <c r="E28" s="42"/>
      <c r="F28" s="42"/>
      <c r="G28" s="42"/>
    </row>
    <row r="29" customFormat="false" ht="15" hidden="false" customHeight="true" outlineLevel="0" collapsed="false">
      <c r="A29" s="40" t="s">
        <v>117</v>
      </c>
      <c r="B29" s="41" t="s">
        <v>126</v>
      </c>
      <c r="C29" s="41" t="s">
        <v>137</v>
      </c>
      <c r="D29" s="41" t="s">
        <v>138</v>
      </c>
      <c r="E29" s="41" t="s">
        <v>132</v>
      </c>
      <c r="F29" s="41" t="s">
        <v>128</v>
      </c>
      <c r="G29" s="41" t="s">
        <v>127</v>
      </c>
    </row>
    <row r="30" customFormat="false" ht="15" hidden="false" customHeight="false" outlineLevel="0" collapsed="false">
      <c r="A30" s="40"/>
      <c r="B30" s="41" t="s">
        <v>139</v>
      </c>
      <c r="C30" s="41" t="s">
        <v>129</v>
      </c>
      <c r="D30" s="43"/>
      <c r="E30" s="43"/>
      <c r="F30" s="43"/>
      <c r="G30" s="43"/>
    </row>
    <row r="31" customFormat="false" ht="13.8" hidden="false" customHeight="false" outlineLevel="0" collapsed="false">
      <c r="A31" s="40"/>
      <c r="B31" s="42"/>
      <c r="C31" s="42"/>
      <c r="D31" s="42"/>
      <c r="E31" s="42"/>
      <c r="F31" s="42"/>
      <c r="G31" s="42"/>
    </row>
    <row r="32" customFormat="false" ht="15" hidden="false" customHeight="true" outlineLevel="0" collapsed="false">
      <c r="A32" s="40" t="s">
        <v>118</v>
      </c>
      <c r="B32" s="41" t="s">
        <v>138</v>
      </c>
      <c r="C32" s="41" t="s">
        <v>134</v>
      </c>
      <c r="D32" s="41" t="s">
        <v>137</v>
      </c>
      <c r="E32" s="42"/>
      <c r="F32" s="42"/>
      <c r="G32" s="42"/>
    </row>
    <row r="33" customFormat="false" ht="13.8" hidden="false" customHeight="false" outlineLevel="0" collapsed="false">
      <c r="A33" s="40"/>
      <c r="B33" s="42"/>
      <c r="C33" s="42"/>
      <c r="D33" s="42"/>
      <c r="E33" s="42"/>
      <c r="F33" s="42"/>
      <c r="G33" s="42"/>
    </row>
    <row r="34" customFormat="false" ht="13.8" hidden="false" customHeight="false" outlineLevel="0" collapsed="false">
      <c r="A34" s="40"/>
      <c r="B34" s="42"/>
      <c r="C34" s="42"/>
      <c r="D34" s="42"/>
      <c r="E34" s="42"/>
      <c r="F34" s="42"/>
      <c r="G34" s="42"/>
    </row>
    <row r="35" customFormat="false" ht="15" hidden="false" customHeight="false" outlineLevel="0" collapsed="false">
      <c r="A35" s="14" t="s">
        <v>140</v>
      </c>
      <c r="B35" s="14"/>
      <c r="C35" s="14"/>
      <c r="D35" s="14"/>
      <c r="E35" s="14"/>
      <c r="F35" s="14"/>
      <c r="G35" s="14"/>
    </row>
    <row r="36" customFormat="false" ht="15" hidden="false" customHeight="true" outlineLevel="0" collapsed="false">
      <c r="A36" s="40" t="s">
        <v>114</v>
      </c>
      <c r="B36" s="41" t="s">
        <v>138</v>
      </c>
      <c r="C36" s="41" t="s">
        <v>128</v>
      </c>
      <c r="D36" s="41" t="s">
        <v>131</v>
      </c>
      <c r="E36" s="44"/>
      <c r="F36" s="44"/>
      <c r="G36" s="44"/>
    </row>
    <row r="37" customFormat="false" ht="15" hidden="false" customHeight="false" outlineLevel="0" collapsed="false">
      <c r="A37" s="40"/>
      <c r="B37" s="44"/>
      <c r="C37" s="44"/>
      <c r="D37" s="44"/>
      <c r="E37" s="44"/>
      <c r="F37" s="44"/>
      <c r="G37" s="44"/>
    </row>
    <row r="38" customFormat="false" ht="15" hidden="false" customHeight="false" outlineLevel="0" collapsed="false">
      <c r="A38" s="40"/>
      <c r="B38" s="44"/>
      <c r="C38" s="44"/>
      <c r="D38" s="44"/>
      <c r="E38" s="44"/>
      <c r="F38" s="44"/>
      <c r="G38" s="44"/>
    </row>
    <row r="39" customFormat="false" ht="15" hidden="false" customHeight="true" outlineLevel="0" collapsed="false">
      <c r="A39" s="40" t="s">
        <v>115</v>
      </c>
      <c r="B39" s="44"/>
      <c r="C39" s="44"/>
      <c r="D39" s="44"/>
      <c r="E39" s="44"/>
      <c r="F39" s="44"/>
      <c r="G39" s="44"/>
    </row>
    <row r="40" customFormat="false" ht="15" hidden="false" customHeight="false" outlineLevel="0" collapsed="false">
      <c r="A40" s="40"/>
      <c r="B40" s="44"/>
      <c r="C40" s="44"/>
      <c r="D40" s="44"/>
      <c r="E40" s="44"/>
      <c r="F40" s="44"/>
      <c r="G40" s="44"/>
    </row>
    <row r="41" customFormat="false" ht="15" hidden="false" customHeight="false" outlineLevel="0" collapsed="false">
      <c r="A41" s="40"/>
      <c r="B41" s="44"/>
      <c r="C41" s="44"/>
      <c r="D41" s="44"/>
      <c r="E41" s="44"/>
      <c r="F41" s="44"/>
      <c r="G41" s="44"/>
    </row>
    <row r="42" customFormat="false" ht="15" hidden="false" customHeight="true" outlineLevel="0" collapsed="false">
      <c r="A42" s="40" t="s">
        <v>116</v>
      </c>
      <c r="B42" s="41" t="s">
        <v>139</v>
      </c>
      <c r="C42" s="41" t="s">
        <v>133</v>
      </c>
      <c r="D42" s="44"/>
      <c r="E42" s="44"/>
      <c r="F42" s="44"/>
      <c r="G42" s="44"/>
    </row>
    <row r="43" customFormat="false" ht="15" hidden="false" customHeight="false" outlineLevel="0" collapsed="false">
      <c r="A43" s="40"/>
      <c r="B43" s="44"/>
      <c r="C43" s="44"/>
      <c r="D43" s="44"/>
      <c r="E43" s="44"/>
      <c r="F43" s="44"/>
      <c r="G43" s="44"/>
    </row>
    <row r="44" customFormat="false" ht="15" hidden="false" customHeight="false" outlineLevel="0" collapsed="false">
      <c r="A44" s="40"/>
      <c r="B44" s="44"/>
      <c r="C44" s="44"/>
      <c r="D44" s="44"/>
      <c r="E44" s="44"/>
      <c r="F44" s="44"/>
      <c r="G44" s="44"/>
    </row>
    <row r="45" customFormat="false" ht="15" hidden="false" customHeight="true" outlineLevel="0" collapsed="false">
      <c r="A45" s="40" t="s">
        <v>117</v>
      </c>
      <c r="B45" s="41" t="s">
        <v>133</v>
      </c>
      <c r="C45" s="44"/>
      <c r="D45" s="44"/>
      <c r="E45" s="44"/>
      <c r="F45" s="44"/>
      <c r="G45" s="44"/>
    </row>
    <row r="46" customFormat="false" ht="15" hidden="false" customHeight="false" outlineLevel="0" collapsed="false">
      <c r="A46" s="40"/>
      <c r="B46" s="44"/>
      <c r="C46" s="44"/>
      <c r="D46" s="44"/>
      <c r="E46" s="44"/>
      <c r="F46" s="44"/>
      <c r="G46" s="44"/>
    </row>
    <row r="47" customFormat="false" ht="15" hidden="false" customHeight="false" outlineLevel="0" collapsed="false">
      <c r="A47" s="40"/>
      <c r="B47" s="44"/>
      <c r="C47" s="44"/>
      <c r="D47" s="44"/>
      <c r="E47" s="44"/>
      <c r="F47" s="44"/>
      <c r="G47" s="44"/>
    </row>
    <row r="48" customFormat="false" ht="15" hidden="false" customHeight="true" outlineLevel="0" collapsed="false">
      <c r="A48" s="40" t="s">
        <v>118</v>
      </c>
      <c r="B48" s="41" t="s">
        <v>126</v>
      </c>
      <c r="C48" s="41" t="s">
        <v>129</v>
      </c>
      <c r="D48" s="44"/>
      <c r="E48" s="44"/>
      <c r="F48" s="44"/>
      <c r="G48" s="44"/>
    </row>
    <row r="49" customFormat="false" ht="15" hidden="false" customHeight="false" outlineLevel="0" collapsed="false">
      <c r="A49" s="40"/>
      <c r="B49" s="44"/>
      <c r="C49" s="44"/>
      <c r="D49" s="44"/>
      <c r="E49" s="44"/>
      <c r="F49" s="44"/>
      <c r="G49" s="44"/>
    </row>
    <row r="50" customFormat="false" ht="15" hidden="false" customHeight="false" outlineLevel="0" collapsed="false">
      <c r="A50" s="40"/>
      <c r="B50" s="44"/>
      <c r="C50" s="44"/>
      <c r="D50" s="44"/>
      <c r="E50" s="44"/>
      <c r="F50" s="44"/>
      <c r="G50" s="44"/>
    </row>
    <row r="51" customFormat="false" ht="15" hidden="false" customHeight="false" outlineLevel="0" collapsed="false">
      <c r="A51" s="14" t="s">
        <v>141</v>
      </c>
      <c r="B51" s="14"/>
      <c r="C51" s="14"/>
      <c r="D51" s="14"/>
      <c r="E51" s="14"/>
      <c r="F51" s="14"/>
      <c r="G51" s="14"/>
    </row>
    <row r="52" customFormat="false" ht="15" hidden="false" customHeight="true" outlineLevel="0" collapsed="false">
      <c r="A52" s="40" t="s">
        <v>114</v>
      </c>
      <c r="B52" s="41" t="s">
        <v>142</v>
      </c>
      <c r="C52" s="41" t="s">
        <v>132</v>
      </c>
      <c r="D52" s="44"/>
      <c r="E52" s="44"/>
      <c r="F52" s="44"/>
      <c r="G52" s="44"/>
    </row>
    <row r="53" customFormat="false" ht="15" hidden="false" customHeight="false" outlineLevel="0" collapsed="false">
      <c r="A53" s="40"/>
      <c r="B53" s="44"/>
      <c r="C53" s="44"/>
      <c r="D53" s="44"/>
      <c r="E53" s="44"/>
      <c r="F53" s="44"/>
      <c r="G53" s="44"/>
    </row>
    <row r="54" customFormat="false" ht="15" hidden="false" customHeight="false" outlineLevel="0" collapsed="false">
      <c r="A54" s="40"/>
      <c r="B54" s="44"/>
      <c r="C54" s="44"/>
      <c r="D54" s="44"/>
      <c r="E54" s="44"/>
      <c r="F54" s="44"/>
      <c r="G54" s="44"/>
    </row>
    <row r="55" customFormat="false" ht="15" hidden="false" customHeight="true" outlineLevel="0" collapsed="false">
      <c r="A55" s="40" t="s">
        <v>115</v>
      </c>
      <c r="B55" s="41" t="s">
        <v>134</v>
      </c>
      <c r="C55" s="41" t="s">
        <v>142</v>
      </c>
      <c r="D55" s="44"/>
      <c r="E55" s="44"/>
      <c r="F55" s="44"/>
      <c r="G55" s="44"/>
    </row>
    <row r="56" customFormat="false" ht="15" hidden="false" customHeight="false" outlineLevel="0" collapsed="false">
      <c r="A56" s="40"/>
      <c r="B56" s="44"/>
      <c r="C56" s="44"/>
      <c r="D56" s="44"/>
      <c r="E56" s="44"/>
      <c r="F56" s="44"/>
      <c r="G56" s="44"/>
    </row>
    <row r="57" customFormat="false" ht="15" hidden="false" customHeight="false" outlineLevel="0" collapsed="false">
      <c r="A57" s="40"/>
      <c r="B57" s="44"/>
      <c r="C57" s="44"/>
      <c r="D57" s="44"/>
      <c r="E57" s="44"/>
      <c r="F57" s="44"/>
      <c r="G57" s="44"/>
    </row>
    <row r="58" customFormat="false" ht="15" hidden="false" customHeight="true" outlineLevel="0" collapsed="false">
      <c r="A58" s="40" t="s">
        <v>116</v>
      </c>
      <c r="B58" s="41" t="s">
        <v>143</v>
      </c>
      <c r="C58" s="41" t="s">
        <v>142</v>
      </c>
      <c r="D58" s="44"/>
      <c r="E58" s="44"/>
      <c r="F58" s="44"/>
      <c r="G58" s="44"/>
    </row>
    <row r="59" customFormat="false" ht="15" hidden="false" customHeight="false" outlineLevel="0" collapsed="false">
      <c r="A59" s="40"/>
      <c r="B59" s="44"/>
      <c r="C59" s="44"/>
      <c r="D59" s="44"/>
      <c r="E59" s="44"/>
      <c r="F59" s="44"/>
      <c r="G59" s="44"/>
    </row>
    <row r="60" customFormat="false" ht="15" hidden="false" customHeight="false" outlineLevel="0" collapsed="false">
      <c r="A60" s="40"/>
      <c r="B60" s="44"/>
      <c r="C60" s="44"/>
      <c r="D60" s="44"/>
      <c r="E60" s="44"/>
      <c r="F60" s="44"/>
      <c r="G60" s="44"/>
    </row>
    <row r="61" customFormat="false" ht="15" hidden="false" customHeight="true" outlineLevel="0" collapsed="false">
      <c r="A61" s="40" t="s">
        <v>117</v>
      </c>
      <c r="B61" s="41" t="s">
        <v>142</v>
      </c>
      <c r="C61" s="44"/>
      <c r="D61" s="44"/>
      <c r="E61" s="44"/>
      <c r="F61" s="44"/>
      <c r="G61" s="44"/>
    </row>
    <row r="62" customFormat="false" ht="15" hidden="false" customHeight="false" outlineLevel="0" collapsed="false">
      <c r="A62" s="40"/>
      <c r="B62" s="44"/>
      <c r="C62" s="44"/>
      <c r="D62" s="44"/>
      <c r="E62" s="44"/>
      <c r="F62" s="44"/>
      <c r="G62" s="44"/>
    </row>
    <row r="63" customFormat="false" ht="15" hidden="false" customHeight="false" outlineLevel="0" collapsed="false">
      <c r="A63" s="40"/>
      <c r="B63" s="44"/>
      <c r="C63" s="44"/>
      <c r="D63" s="44"/>
      <c r="E63" s="44"/>
      <c r="F63" s="44"/>
      <c r="G63" s="44"/>
    </row>
    <row r="64" customFormat="false" ht="15" hidden="false" customHeight="true" outlineLevel="0" collapsed="false">
      <c r="A64" s="40" t="s">
        <v>118</v>
      </c>
      <c r="B64" s="41" t="s">
        <v>142</v>
      </c>
      <c r="C64" s="44" t="s">
        <v>127</v>
      </c>
      <c r="D64" s="44" t="s">
        <v>132</v>
      </c>
      <c r="E64" s="44" t="s">
        <v>139</v>
      </c>
      <c r="F64" s="44" t="s">
        <v>144</v>
      </c>
      <c r="G64" s="44" t="s">
        <v>128</v>
      </c>
    </row>
    <row r="65" customFormat="false" ht="15" hidden="false" customHeight="false" outlineLevel="0" collapsed="false">
      <c r="A65" s="40"/>
      <c r="B65" s="44" t="s">
        <v>133</v>
      </c>
      <c r="C65" s="44"/>
      <c r="D65" s="44"/>
      <c r="E65" s="44"/>
      <c r="F65" s="44"/>
      <c r="G65" s="44"/>
    </row>
    <row r="66" customFormat="false" ht="15" hidden="false" customHeight="false" outlineLevel="0" collapsed="false">
      <c r="A66" s="40"/>
      <c r="B66" s="44"/>
      <c r="C66" s="44"/>
      <c r="D66" s="44"/>
      <c r="E66" s="44"/>
      <c r="F66" s="44"/>
      <c r="G66" s="44"/>
    </row>
  </sheetData>
  <mergeCells count="27">
    <mergeCell ref="A1:G1"/>
    <mergeCell ref="A2:G2"/>
    <mergeCell ref="B3:G3"/>
    <mergeCell ref="B4:C4"/>
    <mergeCell ref="E4:G4"/>
    <mergeCell ref="B5:G5"/>
    <mergeCell ref="A7:A10"/>
    <mergeCell ref="D7:E10"/>
    <mergeCell ref="A11:G11"/>
    <mergeCell ref="A18:G18"/>
    <mergeCell ref="A20:A22"/>
    <mergeCell ref="A23:A25"/>
    <mergeCell ref="A26:A28"/>
    <mergeCell ref="A29:A31"/>
    <mergeCell ref="A32:A34"/>
    <mergeCell ref="A35:G35"/>
    <mergeCell ref="A36:A38"/>
    <mergeCell ref="A39:A41"/>
    <mergeCell ref="A42:A44"/>
    <mergeCell ref="A45:A47"/>
    <mergeCell ref="A48:A50"/>
    <mergeCell ref="A51:G51"/>
    <mergeCell ref="A52:A54"/>
    <mergeCell ref="A55:A57"/>
    <mergeCell ref="A58:A60"/>
    <mergeCell ref="A61:A63"/>
    <mergeCell ref="A64:A6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N18" activeCellId="0" sqref="N18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5" t="s">
        <v>96</v>
      </c>
      <c r="B1" s="45" t="n">
        <f aca="false">score_sheet!B10</f>
        <v>3733387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2015-05-01T13:34:33Z</dcterms:created>
  <dc:creator>Admin</dc:creator>
  <dc:description/>
  <dc:language>en-IN</dc:language>
  <cp:lastModifiedBy/>
  <dcterms:modified xsi:type="dcterms:W3CDTF">2026-06-16T15:21:46Z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