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84C10C57-56EC-468A-8431-FB3DF15FC3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P19" i="1"/>
  <c r="R19" i="1" s="1"/>
  <c r="Q19" i="1" s="1"/>
  <c r="P20" i="1"/>
  <c r="R20" i="1" s="1"/>
  <c r="Q20" i="1" s="1"/>
  <c r="P21" i="1"/>
  <c r="R21" i="1" s="1"/>
  <c r="Q21" i="1" s="1"/>
  <c r="P22" i="1"/>
  <c r="R22" i="1"/>
  <c r="P23" i="1"/>
  <c r="P24" i="1"/>
  <c r="R24" i="1" s="1"/>
  <c r="Q24" i="1" s="1"/>
  <c r="P25" i="1"/>
  <c r="R25" i="1" s="1"/>
  <c r="Q25" i="1" s="1"/>
  <c r="P26" i="1"/>
  <c r="P27" i="1"/>
  <c r="R27" i="1"/>
  <c r="Q27" i="1" s="1"/>
  <c r="P28" i="1"/>
  <c r="R28" i="1" s="1"/>
  <c r="Q28" i="1" s="1"/>
  <c r="P29" i="1"/>
  <c r="R29" i="1" s="1"/>
  <c r="Q29" i="1" s="1"/>
  <c r="P30" i="1"/>
  <c r="P31" i="1"/>
  <c r="R31" i="1"/>
  <c r="Q31" i="1" s="1"/>
  <c r="P32" i="1"/>
  <c r="R32" i="1" s="1"/>
  <c r="Q32" i="1" s="1"/>
  <c r="P33" i="1"/>
  <c r="R33" i="1" s="1"/>
  <c r="Q33" i="1" s="1"/>
  <c r="P34" i="1"/>
  <c r="R34" i="1"/>
  <c r="P35" i="1"/>
  <c r="P36" i="1"/>
  <c r="R36" i="1" s="1"/>
  <c r="Q36" i="1" s="1"/>
  <c r="P37" i="1"/>
  <c r="R37" i="1" s="1"/>
  <c r="Q37" i="1" s="1"/>
  <c r="P38" i="1"/>
  <c r="P39" i="1"/>
  <c r="P40" i="1"/>
  <c r="R40" i="1" s="1"/>
  <c r="Q40" i="1" s="1"/>
  <c r="P41" i="1"/>
  <c r="R41" i="1" s="1"/>
  <c r="Q41" i="1" s="1"/>
  <c r="P42" i="1"/>
  <c r="R42" i="1"/>
  <c r="P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M14" i="1"/>
  <c r="K14" i="1"/>
  <c r="I14" i="1"/>
  <c r="G14" i="1"/>
  <c r="R35" i="1" l="1"/>
  <c r="Q35" i="1" s="1"/>
  <c r="R26" i="1"/>
  <c r="R39" i="1"/>
  <c r="Q39" i="1" s="1"/>
  <c r="R30" i="1"/>
  <c r="R38" i="1"/>
  <c r="R18" i="1"/>
  <c r="Q34" i="1"/>
  <c r="R14" i="1"/>
  <c r="Q14" i="1" s="1"/>
  <c r="R23" i="1"/>
  <c r="Q23" i="1" s="1"/>
  <c r="Q42" i="1"/>
  <c r="Q22" i="1"/>
  <c r="G17" i="5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Q26" i="1" l="1"/>
  <c r="Q38" i="1"/>
  <c r="Q18" i="1"/>
  <c r="Q30" i="1"/>
  <c r="F10" i="5"/>
  <c r="F9" i="5"/>
  <c r="G10" i="5" l="1"/>
  <c r="G9" i="5"/>
  <c r="G8" i="5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<sst xmlns="http://schemas.openxmlformats.org/spreadsheetml/2006/main" count="225" uniqueCount="143">
  <si>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</si>
  <si>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</si>
  <si>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</si>
  <si>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</si>
  <si>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</si>
  <si>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</si>
  <si>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</si>
  <si>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</si>
  <si>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</si>
  <si>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</si>
  <si>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</si>
  <si>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</si>
  <si>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</si>
  <si>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</si>
  <si>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</si>
  <si>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</si>
  <si>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</si>
  <si>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</si>
  <si>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</si>
  <si>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</si>
  <si>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</si>
  <si>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</si>
  <si>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</si>
  <si>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</si>
  <si>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</si>
  <si>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</si>
  <si>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</si>
  <si>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</si>
  <si>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</si>
  <si>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</si>
  <si>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</si>
  <si>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</si>
  <si>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</si>
  <si>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</si>
  <si>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</si>
  <si>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</si>
  <si>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</si>
  <si>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</si>
  <si>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</si>
  <si>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</si>
  <si>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</si>
  <si>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</si>
  <si>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</si>
  <si>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</si>
  <si>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</si>
  <si>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</si>
  <si>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</si>
  <si>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</si>
  <si>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</si>
  <si>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</si>
  <si>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</si>
  <si>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</si>
  <si>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</si>
  <si>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</si>
  <si>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</si>
  <si>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TPA</t>
  </si>
  <si>
    <t>All India Institute of local Self-Government</t>
  </si>
  <si>
    <t>Jharkhand</t>
  </si>
  <si>
    <t>Deoghar</t>
  </si>
  <si>
    <t>A-002321	&amp; Amit Kumar Singh</t>
  </si>
  <si>
    <t>BISHAL PANDIT</t>
  </si>
  <si>
    <t>PRITY KUMARI</t>
  </si>
  <si>
    <t>NANDAN DAS</t>
  </si>
  <si>
    <t>KIRAN BHARTI</t>
  </si>
  <si>
    <t>KUSUM HANSDA</t>
  </si>
  <si>
    <t>PAYAL KUMARI</t>
  </si>
  <si>
    <t>NITESH KUMAR</t>
  </si>
  <si>
    <t>PANKAJ KUMAR MANDAL</t>
  </si>
  <si>
    <t>MAMTA KUMARI</t>
  </si>
  <si>
    <t>NEHA KUMARI</t>
  </si>
  <si>
    <t>PUSPA TUDU</t>
  </si>
  <si>
    <t>ARBIND PASI</t>
  </si>
  <si>
    <t>FULAN KUMARI</t>
  </si>
  <si>
    <t>PRIYANKA KUMARI</t>
  </si>
  <si>
    <t>KHUSHBU KUMARI</t>
  </si>
  <si>
    <t>MILAN KUMAR PANDIT</t>
  </si>
  <si>
    <t>MALOTI KISKU</t>
  </si>
  <si>
    <t>ARTI KUMARI</t>
  </si>
  <si>
    <t>MEENA MARANDI</t>
  </si>
  <si>
    <t>KAJAL KUMARI</t>
  </si>
  <si>
    <t>KHUSHI KHATUN</t>
  </si>
  <si>
    <t>SAJAN KUMAR</t>
  </si>
  <si>
    <t>SARITA KUMARI</t>
  </si>
  <si>
    <t>KARAN KUMAR MANDAL</t>
  </si>
  <si>
    <t>PINTU KUMAR YADAV</t>
  </si>
  <si>
    <t>SUNITA KUMARI</t>
  </si>
  <si>
    <t>KALPNA KUMARI</t>
  </si>
  <si>
    <t>USHA KUMARI</t>
  </si>
  <si>
    <t>ANITA KUMARI</t>
  </si>
  <si>
    <t>CAN_040304430</t>
  </si>
  <si>
    <t>CAN_040304429</t>
  </si>
  <si>
    <t>CAN_040304428</t>
  </si>
  <si>
    <t>CAN_040304427</t>
  </si>
  <si>
    <t>CAN_040304426</t>
  </si>
  <si>
    <t>CAN_040304425</t>
  </si>
  <si>
    <t>CAN_040304424</t>
  </si>
  <si>
    <t>CAN_040304423</t>
  </si>
  <si>
    <t>CAN_040304422</t>
  </si>
  <si>
    <t>CAN_040304421</t>
  </si>
  <si>
    <t>CAN_040304420</t>
  </si>
  <si>
    <t>CAN_040304419</t>
  </si>
  <si>
    <t>CAN_040304418</t>
  </si>
  <si>
    <t>CAN_040304417</t>
  </si>
  <si>
    <t>CAN_040304416</t>
  </si>
  <si>
    <t>CAN_040304415</t>
  </si>
  <si>
    <t>CAN_040304414</t>
  </si>
  <si>
    <t>CAN_040304413</t>
  </si>
  <si>
    <t>CAN_040304412</t>
  </si>
  <si>
    <t>CAN_040304411</t>
  </si>
  <si>
    <t>CAN_040304410</t>
  </si>
  <si>
    <t>CAN_040304409</t>
  </si>
  <si>
    <t>CAN_040304408</t>
  </si>
  <si>
    <t>CAN_040304407</t>
  </si>
  <si>
    <t>CAN_040304406</t>
  </si>
  <si>
    <t>CAN_040304405</t>
  </si>
  <si>
    <t>CAN_040304404</t>
  </si>
  <si>
    <t>CAN_040304403</t>
  </si>
  <si>
    <t>CAN_040304402</t>
  </si>
  <si>
    <t>F</t>
  </si>
  <si>
    <t>M</t>
  </si>
  <si>
    <t>PC5</t>
  </si>
  <si>
    <t>PC14</t>
  </si>
  <si>
    <t>PC20</t>
  </si>
  <si>
    <t>PC23</t>
  </si>
  <si>
    <t>PC27</t>
  </si>
  <si>
    <t>PC19</t>
  </si>
  <si>
    <t>PC24</t>
  </si>
  <si>
    <t>PC1</t>
  </si>
  <si>
    <t>PC6</t>
  </si>
  <si>
    <t>PC10</t>
  </si>
  <si>
    <t>PC12</t>
  </si>
  <si>
    <t>PC15</t>
  </si>
  <si>
    <t>PC18</t>
  </si>
  <si>
    <t>PC7</t>
  </si>
  <si>
    <t>PC11</t>
  </si>
  <si>
    <t>PC4</t>
  </si>
  <si>
    <t>PC16</t>
  </si>
  <si>
    <t>PC22</t>
  </si>
  <si>
    <t>PC2</t>
  </si>
  <si>
    <t>PC8</t>
  </si>
  <si>
    <t>PC21</t>
  </si>
  <si>
    <t>PC3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</si>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</sst>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93.103448275862064</c:v>
                </c:pt>
                <c:pt idx="1">
                  <c:v>93.103448275862064</c:v>
                </c:pt>
                <c:pt idx="2">
                  <c:v>93.103448275862064</c:v>
                </c:pt>
                <c:pt idx="3">
                  <c:v>93.103448275862064</c:v>
                </c:pt>
                <c:pt idx="4">
                  <c:v>93.103448275862064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66.848275862068959</c:v>
                </c:pt>
                <c:pt idx="1">
                  <c:v>64.400000000000006</c:v>
                </c:pt>
                <c:pt idx="2">
                  <c:v>63.927586206896549</c:v>
                </c:pt>
                <c:pt idx="3">
                  <c:v>59.527586206896551</c:v>
                </c:pt>
                <c:pt idx="4">
                  <c:v>29.448275862068964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52</c:v>
                </c:pt>
                <c:pt idx="1">
                  <c:v>16.5</c:v>
                </c:pt>
                <c:pt idx="2">
                  <c:v>17.2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80.2</c:v>
                </c:pt>
                <c:pt idx="1">
                  <c:v>77.900000000000006</c:v>
                </c:pt>
                <c:pt idx="2">
                  <c:v>89.6</c:v>
                </c:pt>
                <c:pt idx="3">
                  <c:v>83.9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67</c:v>
                </c:pt>
                <c:pt idx="1">
                  <c:v>67.7</c:v>
                </c:pt>
                <c:pt idx="2">
                  <c:v>65</c:v>
                </c:pt>
                <c:pt idx="3">
                  <c:v>64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7.3086448901830634</c:v>
                </c:pt>
                <c:pt idx="1">
                  <c:v>11.280529456882068</c:v>
                </c:pt>
                <c:pt idx="2">
                  <c:v>14.396788352381185</c:v>
                </c:pt>
                <c:pt idx="3">
                  <c:v>13.145102576998394</c:v>
                </c:pt>
                <c:pt idx="4">
                  <c:v>8.0111396877294503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zoomScale="76" zoomScaleNormal="85" workbookViewId="0">
      <selection activeCell="E4" sqref="E4"/>
    </sheetView>
  </sheetViews>
  <sheetFormatPr defaultColWidth="9.1796875" defaultRowHeight="14.5" x14ac:dyDescent="0.35"/>
  <cols>
    <col min="1" max="1" width="33.1796875" bestFit="1" customWidth="1"/>
    <col min="2" max="2" width="37.08984375" bestFit="1" customWidth="1"/>
    <col min="3" max="3" width="18" customWidth="1"/>
    <col min="4" max="4" width="10.81640625" bestFit="1" customWidth="1"/>
    <col min="5" max="5" width="16.26953125" bestFit="1" customWidth="1"/>
    <col min="6" max="6" width="13.81640625" customWidth="1"/>
    <col min="7" max="7" width="12.1796875" bestFit="1" customWidth="1"/>
    <col min="8" max="8" width="11.7265625" customWidth="1"/>
    <col min="9" max="9" width="12.1796875" bestFit="1" customWidth="1"/>
    <col min="10" max="10" width="12.7265625" customWidth="1"/>
    <col min="11" max="11" width="12.1796875" bestFit="1" customWidth="1"/>
    <col min="12" max="12" width="12.453125" customWidth="1"/>
    <col min="13" max="13" width="12.1796875" bestFit="1" customWidth="1"/>
    <col min="14" max="14" width="11.54296875" customWidth="1"/>
    <col min="15" max="15" width="12.1796875" bestFit="1" customWidth="1"/>
    <col min="16" max="16" width="13.26953125" customWidth="1"/>
    <col min="17" max="17" width="15.81640625" bestFit="1" customWidth="1"/>
    <col min="18" max="18" width="12.453125" bestFit="1" customWidth="1"/>
  </cols>
  <sheetData>
    <row r="1" spans="1:18" x14ac:dyDescent="0.35">
      <c r="A1" s="24" t="s">
        <v>0</v>
      </c>
      <c r="B1" s="24" t="s">
        <v>40</v>
      </c>
    </row>
    <row r="2" spans="1:18" x14ac:dyDescent="0.35">
      <c r="A2" s="24" t="s">
        <v>1</v>
      </c>
      <c r="B2" s="24" t="s">
        <v>56</v>
      </c>
    </row>
    <row r="3" spans="1:18" x14ac:dyDescent="0.35">
      <c r="A3" s="24" t="s">
        <v>2</v>
      </c>
      <c r="B3" s="25" t="s">
        <v>43</v>
      </c>
    </row>
    <row r="4" spans="1:18" x14ac:dyDescent="0.35">
      <c r="A4" s="24" t="s">
        <v>34</v>
      </c>
      <c r="B4" s="24" t="s">
        <v>44</v>
      </c>
    </row>
    <row r="5" spans="1:18" x14ac:dyDescent="0.35">
      <c r="A5" s="24" t="s">
        <v>42</v>
      </c>
      <c r="B5" s="24" t="s">
        <v>59</v>
      </c>
    </row>
    <row r="6" spans="1:18" x14ac:dyDescent="0.35">
      <c r="A6" s="24" t="s">
        <v>35</v>
      </c>
      <c r="B6" s="24" t="s">
        <v>55</v>
      </c>
    </row>
    <row r="7" spans="1:18" x14ac:dyDescent="0.35">
      <c r="A7" s="24" t="s">
        <v>3</v>
      </c>
      <c r="B7" s="24" t="s">
        <v>57</v>
      </c>
    </row>
    <row r="8" spans="1:18" x14ac:dyDescent="0.35">
      <c r="A8" s="24" t="s">
        <v>4</v>
      </c>
      <c r="B8" s="24" t="s">
        <v>58</v>
      </c>
    </row>
    <row r="9" spans="1:18" x14ac:dyDescent="0.35">
      <c r="A9" s="24" t="s">
        <v>36</v>
      </c>
      <c r="B9" s="24" t="s">
        <v>41</v>
      </c>
    </row>
    <row r="10" spans="1:18" x14ac:dyDescent="0.35">
      <c r="A10" s="24" t="s">
        <v>5</v>
      </c>
      <c r="B10" s="24">
        <v>3785734</v>
      </c>
    </row>
    <row r="11" spans="1:18" x14ac:dyDescent="0.35">
      <c r="A11" s="26"/>
      <c r="B11" s="26"/>
    </row>
    <row r="13" spans="1:18" ht="29" x14ac:dyDescent="0.3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45</v>
      </c>
      <c r="G13" s="28" t="s">
        <v>29</v>
      </c>
      <c r="H13" s="28" t="s">
        <v>46</v>
      </c>
      <c r="I13" s="28" t="s">
        <v>29</v>
      </c>
      <c r="J13" s="28" t="s">
        <v>47</v>
      </c>
      <c r="K13" s="28" t="s">
        <v>29</v>
      </c>
      <c r="L13" s="28" t="s">
        <v>48</v>
      </c>
      <c r="M13" s="28" t="s">
        <v>29</v>
      </c>
      <c r="N13" s="28" t="s">
        <v>49</v>
      </c>
      <c r="O13" s="28" t="s">
        <v>29</v>
      </c>
      <c r="P13" s="28" t="s">
        <v>16</v>
      </c>
      <c r="Q13" s="28" t="s">
        <v>30</v>
      </c>
      <c r="R13" s="28" t="s">
        <v>24</v>
      </c>
    </row>
    <row r="14" spans="1:18" x14ac:dyDescent="0.35">
      <c r="A14" s="29">
        <v>3785734</v>
      </c>
      <c r="B14" s="30" t="s">
        <v>60</v>
      </c>
      <c r="C14" s="30" t="s">
        <v>89</v>
      </c>
      <c r="D14" s="30" t="s">
        <v>119</v>
      </c>
      <c r="E14" s="31">
        <v>46178</v>
      </c>
      <c r="F14" s="30">
        <v>70</v>
      </c>
      <c r="G14" s="24" t="str">
        <f>IF(F14&gt;=50,"PASS",IF(F14&gt;0,"FAIL", "ABSENT"))</f>
        <v>PASS</v>
      </c>
      <c r="H14" s="30">
        <v>69.7</v>
      </c>
      <c r="I14" s="24" t="str">
        <f>IF(H14&gt;=50,"PASS",IF(H14&gt;0,"FAIL", "ABSENT"))</f>
        <v>PASS</v>
      </c>
      <c r="J14" s="30">
        <v>49</v>
      </c>
      <c r="K14" s="24" t="str">
        <f>IF(J14&gt;=50,"PASS",IF(J14&gt;0,"FAIL", "ABSENT"))</f>
        <v>FAIL</v>
      </c>
      <c r="L14" s="30">
        <v>46</v>
      </c>
      <c r="M14" s="24" t="str">
        <f>IF(L14&gt;=50,"PASS",IF(L14&gt;0,"FAIL", "ABSENT"))</f>
        <v>FAIL</v>
      </c>
      <c r="N14" s="30">
        <v>40</v>
      </c>
      <c r="O14" s="24" t="str">
        <f>IF(N14&gt;=25,"PASS",IF(N14&gt;0,"FAIL", "ABSENT"))</f>
        <v>PASS</v>
      </c>
      <c r="P14" s="29">
        <f>F14+H14+J14+L14+N14</f>
        <v>274.7</v>
      </c>
      <c r="Q14" s="24" t="str">
        <f>IF(R14&gt;=50,"PASS",IF(R14&gt;0,"FAIL","ABSENT"))</f>
        <v>PASS</v>
      </c>
      <c r="R14" s="32">
        <f>P14/450*100</f>
        <v>61.044444444444444</v>
      </c>
    </row>
    <row r="15" spans="1:18" x14ac:dyDescent="0.35">
      <c r="A15" s="29">
        <v>3785734</v>
      </c>
      <c r="B15" s="30" t="s">
        <v>61</v>
      </c>
      <c r="C15" s="30" t="s">
        <v>90</v>
      </c>
      <c r="D15" s="30" t="s">
        <v>118</v>
      </c>
      <c r="E15" s="31">
        <v>46178</v>
      </c>
      <c r="F15" s="30">
        <v>64</v>
      </c>
      <c r="G15" s="24" t="str">
        <f t="shared" ref="G15:G42" si="0">IF(F15&gt;=50,"PASS",IF(F15&gt;0,"FAIL", "ABSENT"))</f>
        <v>PASS</v>
      </c>
      <c r="H15" s="30">
        <v>61.7</v>
      </c>
      <c r="I15" s="24" t="str">
        <f t="shared" ref="I15:I42" si="1">IF(H15&gt;=50,"PASS",IF(H15&gt;0,"FAIL", "ABSENT"))</f>
        <v>PASS</v>
      </c>
      <c r="J15" s="30">
        <v>62.5</v>
      </c>
      <c r="K15" s="24" t="str">
        <f t="shared" ref="K15:K42" si="2">IF(J15&gt;=50,"PASS",IF(J15&gt;0,"FAIL", "ABSENT"))</f>
        <v>PASS</v>
      </c>
      <c r="L15" s="30">
        <v>57.2</v>
      </c>
      <c r="M15" s="24" t="str">
        <f t="shared" ref="M15:M42" si="3">IF(L15&gt;=50,"PASS",IF(L15&gt;0,"FAIL", "ABSENT"))</f>
        <v>PASS</v>
      </c>
      <c r="N15" s="30">
        <v>29</v>
      </c>
      <c r="O15" s="24" t="str">
        <f t="shared" ref="O15:O42" si="4">IF(N15&gt;=25,"PASS",IF(N15&gt;0,"FAIL", "ABSENT"))</f>
        <v>PASS</v>
      </c>
      <c r="P15" s="29">
        <f t="shared" ref="P15:P42" si="5">F15+H15+J15+L15+N15</f>
        <v>274.39999999999998</v>
      </c>
      <c r="Q15" s="24" t="str">
        <f t="shared" ref="Q15:Q42" si="6">IF(R15&gt;=50,"PASS",IF(R15&gt;0,"FAIL","ABSENT"))</f>
        <v>PASS</v>
      </c>
      <c r="R15" s="32">
        <f t="shared" ref="R15:R42" si="7">P15/450*100</f>
        <v>60.977777777777774</v>
      </c>
    </row>
    <row r="16" spans="1:18" x14ac:dyDescent="0.35">
      <c r="A16" s="29">
        <v>3785734</v>
      </c>
      <c r="B16" s="30" t="s">
        <v>62</v>
      </c>
      <c r="C16" s="30" t="s">
        <v>91</v>
      </c>
      <c r="D16" s="30" t="s">
        <v>119</v>
      </c>
      <c r="E16" s="31">
        <v>46178</v>
      </c>
      <c r="F16" s="30">
        <v>60.8</v>
      </c>
      <c r="G16" s="24" t="str">
        <f t="shared" si="0"/>
        <v>PASS</v>
      </c>
      <c r="H16" s="30">
        <v>57.7</v>
      </c>
      <c r="I16" s="24" t="str">
        <f t="shared" si="1"/>
        <v>PASS</v>
      </c>
      <c r="J16" s="30">
        <v>70</v>
      </c>
      <c r="K16" s="24" t="str">
        <f t="shared" si="2"/>
        <v>PASS</v>
      </c>
      <c r="L16" s="30">
        <v>55</v>
      </c>
      <c r="M16" s="24" t="str">
        <f t="shared" si="3"/>
        <v>PASS</v>
      </c>
      <c r="N16" s="30">
        <v>29</v>
      </c>
      <c r="O16" s="24" t="str">
        <f t="shared" si="4"/>
        <v>PASS</v>
      </c>
      <c r="P16" s="29">
        <f t="shared" si="5"/>
        <v>272.5</v>
      </c>
      <c r="Q16" s="24" t="str">
        <f t="shared" si="6"/>
        <v>PASS</v>
      </c>
      <c r="R16" s="32">
        <f t="shared" si="7"/>
        <v>60.55555555555555</v>
      </c>
    </row>
    <row r="17" spans="1:18" x14ac:dyDescent="0.35">
      <c r="A17" s="29">
        <v>3785734</v>
      </c>
      <c r="B17" s="30" t="s">
        <v>63</v>
      </c>
      <c r="C17" s="30" t="s">
        <v>92</v>
      </c>
      <c r="D17" s="30" t="s">
        <v>118</v>
      </c>
      <c r="E17" s="31">
        <v>46178</v>
      </c>
      <c r="F17" s="30">
        <v>64.099999999999994</v>
      </c>
      <c r="G17" s="24" t="str">
        <f t="shared" si="0"/>
        <v>PASS</v>
      </c>
      <c r="H17" s="30">
        <v>68.7</v>
      </c>
      <c r="I17" s="24" t="str">
        <f t="shared" si="1"/>
        <v>PASS</v>
      </c>
      <c r="J17" s="30">
        <v>71.7</v>
      </c>
      <c r="K17" s="24" t="str">
        <f t="shared" si="2"/>
        <v>PASS</v>
      </c>
      <c r="L17" s="30">
        <v>71.7</v>
      </c>
      <c r="M17" s="24" t="str">
        <f t="shared" si="3"/>
        <v>PASS</v>
      </c>
      <c r="N17" s="30">
        <v>32</v>
      </c>
      <c r="O17" s="24" t="str">
        <f t="shared" si="4"/>
        <v>PASS</v>
      </c>
      <c r="P17" s="29">
        <f t="shared" si="5"/>
        <v>308.2</v>
      </c>
      <c r="Q17" s="24" t="str">
        <f t="shared" si="6"/>
        <v>PASS</v>
      </c>
      <c r="R17" s="32">
        <f t="shared" si="7"/>
        <v>68.488888888888894</v>
      </c>
    </row>
    <row r="18" spans="1:18" x14ac:dyDescent="0.35">
      <c r="A18" s="29">
        <v>3785734</v>
      </c>
      <c r="B18" s="30" t="s">
        <v>64</v>
      </c>
      <c r="C18" s="30" t="s">
        <v>93</v>
      </c>
      <c r="D18" s="30" t="s">
        <v>118</v>
      </c>
      <c r="E18" s="31">
        <v>46178</v>
      </c>
      <c r="F18" s="30">
        <v>76.099999999999994</v>
      </c>
      <c r="G18" s="24" t="str">
        <f t="shared" si="0"/>
        <v>PASS</v>
      </c>
      <c r="H18" s="30">
        <v>72</v>
      </c>
      <c r="I18" s="24" t="str">
        <f t="shared" si="1"/>
        <v>PASS</v>
      </c>
      <c r="J18" s="30">
        <v>76.5</v>
      </c>
      <c r="K18" s="24" t="str">
        <f t="shared" si="2"/>
        <v>PASS</v>
      </c>
      <c r="L18" s="30">
        <v>75</v>
      </c>
      <c r="M18" s="24" t="str">
        <f t="shared" si="3"/>
        <v>PASS</v>
      </c>
      <c r="N18" s="30">
        <v>43</v>
      </c>
      <c r="O18" s="24" t="str">
        <f t="shared" si="4"/>
        <v>PASS</v>
      </c>
      <c r="P18" s="29">
        <f t="shared" si="5"/>
        <v>342.6</v>
      </c>
      <c r="Q18" s="24" t="str">
        <f t="shared" si="6"/>
        <v>PASS</v>
      </c>
      <c r="R18" s="32">
        <f t="shared" si="7"/>
        <v>76.13333333333334</v>
      </c>
    </row>
    <row r="19" spans="1:18" x14ac:dyDescent="0.35">
      <c r="A19" s="29">
        <v>3785734</v>
      </c>
      <c r="B19" s="30" t="s">
        <v>65</v>
      </c>
      <c r="C19" s="30" t="s">
        <v>94</v>
      </c>
      <c r="D19" s="30" t="s">
        <v>118</v>
      </c>
      <c r="E19" s="31">
        <v>46178</v>
      </c>
      <c r="F19" s="30">
        <v>73.900000000000006</v>
      </c>
      <c r="G19" s="24" t="str">
        <f t="shared" si="0"/>
        <v>PASS</v>
      </c>
      <c r="H19" s="30">
        <v>77.900000000000006</v>
      </c>
      <c r="I19" s="24" t="str">
        <f t="shared" si="1"/>
        <v>PASS</v>
      </c>
      <c r="J19" s="30">
        <v>63.1</v>
      </c>
      <c r="K19" s="24" t="str">
        <f t="shared" si="2"/>
        <v>PASS</v>
      </c>
      <c r="L19" s="30">
        <v>54.2</v>
      </c>
      <c r="M19" s="24" t="str">
        <f t="shared" si="3"/>
        <v>PASS</v>
      </c>
      <c r="N19" s="30">
        <v>18</v>
      </c>
      <c r="O19" s="24" t="str">
        <f t="shared" si="4"/>
        <v>FAIL</v>
      </c>
      <c r="P19" s="29">
        <f t="shared" si="5"/>
        <v>287.10000000000002</v>
      </c>
      <c r="Q19" s="24" t="str">
        <f t="shared" si="6"/>
        <v>PASS</v>
      </c>
      <c r="R19" s="32">
        <f t="shared" si="7"/>
        <v>63.800000000000004</v>
      </c>
    </row>
    <row r="20" spans="1:18" x14ac:dyDescent="0.35">
      <c r="A20" s="29">
        <v>3785734</v>
      </c>
      <c r="B20" s="30" t="s">
        <v>66</v>
      </c>
      <c r="C20" s="30" t="s">
        <v>95</v>
      </c>
      <c r="D20" s="30" t="s">
        <v>119</v>
      </c>
      <c r="E20" s="31">
        <v>46178</v>
      </c>
      <c r="F20" s="30">
        <v>80.2</v>
      </c>
      <c r="G20" s="24" t="str">
        <f t="shared" si="0"/>
        <v>PASS</v>
      </c>
      <c r="H20" s="30">
        <v>61.9</v>
      </c>
      <c r="I20" s="24" t="str">
        <f t="shared" si="1"/>
        <v>PASS</v>
      </c>
      <c r="J20" s="30">
        <v>60.2</v>
      </c>
      <c r="K20" s="24" t="str">
        <f t="shared" si="2"/>
        <v>PASS</v>
      </c>
      <c r="L20" s="30">
        <v>48</v>
      </c>
      <c r="M20" s="24" t="str">
        <f t="shared" si="3"/>
        <v>FAIL</v>
      </c>
      <c r="N20" s="30">
        <v>18</v>
      </c>
      <c r="O20" s="24" t="str">
        <f t="shared" si="4"/>
        <v>FAIL</v>
      </c>
      <c r="P20" s="29">
        <f t="shared" si="5"/>
        <v>268.3</v>
      </c>
      <c r="Q20" s="24" t="str">
        <f t="shared" si="6"/>
        <v>PASS</v>
      </c>
      <c r="R20" s="32">
        <f t="shared" si="7"/>
        <v>59.62222222222222</v>
      </c>
    </row>
    <row r="21" spans="1:18" x14ac:dyDescent="0.35">
      <c r="A21" s="29">
        <v>3785734</v>
      </c>
      <c r="B21" s="30" t="s">
        <v>67</v>
      </c>
      <c r="C21" s="30" t="s">
        <v>96</v>
      </c>
      <c r="D21" s="30" t="s">
        <v>119</v>
      </c>
      <c r="E21" s="31">
        <v>46178</v>
      </c>
      <c r="F21" s="30">
        <v>65.599999999999994</v>
      </c>
      <c r="G21" s="24" t="str">
        <f t="shared" si="0"/>
        <v>PASS</v>
      </c>
      <c r="H21" s="30">
        <v>68.7</v>
      </c>
      <c r="I21" s="24" t="str">
        <f t="shared" si="1"/>
        <v>PASS</v>
      </c>
      <c r="J21" s="30">
        <v>61.5</v>
      </c>
      <c r="K21" s="24" t="str">
        <f t="shared" si="2"/>
        <v>PASS</v>
      </c>
      <c r="L21" s="30">
        <v>65</v>
      </c>
      <c r="M21" s="24" t="str">
        <f t="shared" si="3"/>
        <v>PASS</v>
      </c>
      <c r="N21" s="30">
        <v>33</v>
      </c>
      <c r="O21" s="24" t="str">
        <f t="shared" si="4"/>
        <v>PASS</v>
      </c>
      <c r="P21" s="29">
        <f t="shared" si="5"/>
        <v>293.8</v>
      </c>
      <c r="Q21" s="24" t="str">
        <f t="shared" si="6"/>
        <v>PASS</v>
      </c>
      <c r="R21" s="32">
        <f t="shared" si="7"/>
        <v>65.288888888888891</v>
      </c>
    </row>
    <row r="22" spans="1:18" x14ac:dyDescent="0.35">
      <c r="A22" s="29">
        <v>3785734</v>
      </c>
      <c r="B22" s="30" t="s">
        <v>68</v>
      </c>
      <c r="C22" s="30" t="s">
        <v>97</v>
      </c>
      <c r="D22" s="30" t="s">
        <v>118</v>
      </c>
      <c r="E22" s="31">
        <v>46178</v>
      </c>
      <c r="F22" s="30">
        <v>60.6</v>
      </c>
      <c r="G22" s="24" t="str">
        <f t="shared" si="0"/>
        <v>PASS</v>
      </c>
      <c r="H22" s="30">
        <v>64.7</v>
      </c>
      <c r="I22" s="24" t="str">
        <f t="shared" si="1"/>
        <v>PASS</v>
      </c>
      <c r="J22" s="30">
        <v>62</v>
      </c>
      <c r="K22" s="24" t="str">
        <f t="shared" si="2"/>
        <v>PASS</v>
      </c>
      <c r="L22" s="30">
        <v>64</v>
      </c>
      <c r="M22" s="24" t="str">
        <f t="shared" si="3"/>
        <v>PASS</v>
      </c>
      <c r="N22" s="30">
        <v>33</v>
      </c>
      <c r="O22" s="24" t="str">
        <f t="shared" si="4"/>
        <v>PASS</v>
      </c>
      <c r="P22" s="29">
        <f t="shared" si="5"/>
        <v>284.3</v>
      </c>
      <c r="Q22" s="24" t="str">
        <f t="shared" si="6"/>
        <v>PASS</v>
      </c>
      <c r="R22" s="32">
        <f t="shared" si="7"/>
        <v>63.177777777777777</v>
      </c>
    </row>
    <row r="23" spans="1:18" x14ac:dyDescent="0.35">
      <c r="A23" s="29">
        <v>3785734</v>
      </c>
      <c r="B23" s="30" t="s">
        <v>69</v>
      </c>
      <c r="C23" s="30" t="s">
        <v>98</v>
      </c>
      <c r="D23" s="30" t="s">
        <v>118</v>
      </c>
      <c r="E23" s="31">
        <v>46178</v>
      </c>
      <c r="F23" s="30">
        <v>71.3</v>
      </c>
      <c r="G23" s="24" t="str">
        <f t="shared" si="0"/>
        <v>PASS</v>
      </c>
      <c r="H23" s="30">
        <v>62.7</v>
      </c>
      <c r="I23" s="24" t="str">
        <f t="shared" si="1"/>
        <v>PASS</v>
      </c>
      <c r="J23" s="30">
        <v>79.2</v>
      </c>
      <c r="K23" s="24" t="str">
        <f t="shared" si="2"/>
        <v>PASS</v>
      </c>
      <c r="L23" s="30">
        <v>64</v>
      </c>
      <c r="M23" s="24" t="str">
        <f t="shared" si="3"/>
        <v>PASS</v>
      </c>
      <c r="N23" s="30">
        <v>42</v>
      </c>
      <c r="O23" s="24" t="str">
        <f t="shared" si="4"/>
        <v>PASS</v>
      </c>
      <c r="P23" s="29">
        <f t="shared" si="5"/>
        <v>319.2</v>
      </c>
      <c r="Q23" s="24" t="str">
        <f t="shared" si="6"/>
        <v>PASS</v>
      </c>
      <c r="R23" s="32">
        <f t="shared" si="7"/>
        <v>70.933333333333323</v>
      </c>
    </row>
    <row r="24" spans="1:18" x14ac:dyDescent="0.35">
      <c r="A24" s="29">
        <v>3785734</v>
      </c>
      <c r="B24" s="30" t="s">
        <v>70</v>
      </c>
      <c r="C24" s="30" t="s">
        <v>99</v>
      </c>
      <c r="D24" s="30" t="s">
        <v>118</v>
      </c>
      <c r="E24" s="31">
        <v>46178</v>
      </c>
      <c r="F24" s="30">
        <v>52</v>
      </c>
      <c r="G24" s="24" t="str">
        <f t="shared" si="0"/>
        <v>PASS</v>
      </c>
      <c r="H24" s="30">
        <v>67.7</v>
      </c>
      <c r="I24" s="24" t="str">
        <f t="shared" si="1"/>
        <v>PASS</v>
      </c>
      <c r="J24" s="30">
        <v>68.5</v>
      </c>
      <c r="K24" s="24" t="str">
        <f t="shared" si="2"/>
        <v>PASS</v>
      </c>
      <c r="L24" s="30">
        <v>40.4</v>
      </c>
      <c r="M24" s="24" t="str">
        <f t="shared" si="3"/>
        <v>FAIL</v>
      </c>
      <c r="N24" s="30">
        <v>24</v>
      </c>
      <c r="O24" s="24" t="str">
        <f t="shared" si="4"/>
        <v>FAIL</v>
      </c>
      <c r="P24" s="29">
        <f t="shared" si="5"/>
        <v>252.6</v>
      </c>
      <c r="Q24" s="24" t="str">
        <f t="shared" si="6"/>
        <v>PASS</v>
      </c>
      <c r="R24" s="32">
        <f t="shared" si="7"/>
        <v>56.133333333333333</v>
      </c>
    </row>
    <row r="25" spans="1:18" x14ac:dyDescent="0.35">
      <c r="A25" s="29">
        <v>3785734</v>
      </c>
      <c r="B25" s="30" t="s">
        <v>71</v>
      </c>
      <c r="C25" s="30" t="s">
        <v>100</v>
      </c>
      <c r="D25" s="30" t="s">
        <v>119</v>
      </c>
      <c r="E25" s="31">
        <v>46178</v>
      </c>
      <c r="F25" s="30">
        <v>78.599999999999994</v>
      </c>
      <c r="G25" s="24" t="str">
        <f t="shared" si="0"/>
        <v>PASS</v>
      </c>
      <c r="H25" s="30">
        <v>60.9</v>
      </c>
      <c r="I25" s="24" t="str">
        <f t="shared" si="1"/>
        <v>PASS</v>
      </c>
      <c r="J25" s="30">
        <v>65</v>
      </c>
      <c r="K25" s="24" t="str">
        <f t="shared" si="2"/>
        <v>PASS</v>
      </c>
      <c r="L25" s="30">
        <v>55</v>
      </c>
      <c r="M25" s="24" t="str">
        <f t="shared" si="3"/>
        <v>PASS</v>
      </c>
      <c r="N25" s="30">
        <v>17</v>
      </c>
      <c r="O25" s="24" t="str">
        <f t="shared" si="4"/>
        <v>FAIL</v>
      </c>
      <c r="P25" s="29">
        <f t="shared" si="5"/>
        <v>276.5</v>
      </c>
      <c r="Q25" s="24" t="str">
        <f t="shared" si="6"/>
        <v>PASS</v>
      </c>
      <c r="R25" s="32">
        <f t="shared" si="7"/>
        <v>61.444444444444443</v>
      </c>
    </row>
    <row r="26" spans="1:18" x14ac:dyDescent="0.35">
      <c r="A26" s="29">
        <v>3785734</v>
      </c>
      <c r="B26" s="30" t="s">
        <v>72</v>
      </c>
      <c r="C26" s="30" t="s">
        <v>101</v>
      </c>
      <c r="D26" s="30" t="s">
        <v>118</v>
      </c>
      <c r="E26" s="31">
        <v>46178</v>
      </c>
      <c r="F26" s="30">
        <v>58</v>
      </c>
      <c r="G26" s="24" t="str">
        <f t="shared" si="0"/>
        <v>PASS</v>
      </c>
      <c r="H26" s="30">
        <v>63.7</v>
      </c>
      <c r="I26" s="24" t="str">
        <f t="shared" si="1"/>
        <v>PASS</v>
      </c>
      <c r="J26" s="30">
        <v>70.5</v>
      </c>
      <c r="K26" s="24" t="str">
        <f t="shared" si="2"/>
        <v>PASS</v>
      </c>
      <c r="L26" s="30">
        <v>63</v>
      </c>
      <c r="M26" s="24" t="str">
        <f t="shared" si="3"/>
        <v>PASS</v>
      </c>
      <c r="N26" s="30">
        <v>34</v>
      </c>
      <c r="O26" s="24" t="str">
        <f t="shared" si="4"/>
        <v>PASS</v>
      </c>
      <c r="P26" s="29">
        <f t="shared" si="5"/>
        <v>289.2</v>
      </c>
      <c r="Q26" s="24" t="str">
        <f t="shared" si="6"/>
        <v>PASS</v>
      </c>
      <c r="R26" s="32">
        <f t="shared" si="7"/>
        <v>64.266666666666666</v>
      </c>
    </row>
    <row r="27" spans="1:18" x14ac:dyDescent="0.35">
      <c r="A27" s="29">
        <v>3785734</v>
      </c>
      <c r="B27" s="30" t="s">
        <v>73</v>
      </c>
      <c r="C27" s="30" t="s">
        <v>102</v>
      </c>
      <c r="D27" s="30" t="s">
        <v>118</v>
      </c>
      <c r="E27" s="31">
        <v>46178</v>
      </c>
      <c r="F27" s="30">
        <v>68</v>
      </c>
      <c r="G27" s="24" t="str">
        <f t="shared" si="0"/>
        <v>PASS</v>
      </c>
      <c r="H27" s="30">
        <v>62.7</v>
      </c>
      <c r="I27" s="24" t="str">
        <f t="shared" si="1"/>
        <v>PASS</v>
      </c>
      <c r="J27" s="30">
        <v>68.3</v>
      </c>
      <c r="K27" s="24" t="str">
        <f t="shared" si="2"/>
        <v>PASS</v>
      </c>
      <c r="L27" s="30">
        <v>64</v>
      </c>
      <c r="M27" s="24" t="str">
        <f t="shared" si="3"/>
        <v>PASS</v>
      </c>
      <c r="N27" s="30">
        <v>36</v>
      </c>
      <c r="O27" s="24" t="str">
        <f t="shared" si="4"/>
        <v>PASS</v>
      </c>
      <c r="P27" s="29">
        <f t="shared" si="5"/>
        <v>299</v>
      </c>
      <c r="Q27" s="24" t="str">
        <f t="shared" si="6"/>
        <v>PASS</v>
      </c>
      <c r="R27" s="32">
        <f t="shared" si="7"/>
        <v>66.444444444444443</v>
      </c>
    </row>
    <row r="28" spans="1:18" x14ac:dyDescent="0.35">
      <c r="A28" s="29">
        <v>3785734</v>
      </c>
      <c r="B28" s="30" t="s">
        <v>74</v>
      </c>
      <c r="C28" s="30" t="s">
        <v>103</v>
      </c>
      <c r="D28" s="30" t="s">
        <v>118</v>
      </c>
      <c r="E28" s="31">
        <v>46178</v>
      </c>
      <c r="F28" s="30">
        <v>68</v>
      </c>
      <c r="G28" s="24" t="str">
        <f t="shared" si="0"/>
        <v>PASS</v>
      </c>
      <c r="H28" s="30">
        <v>73.7</v>
      </c>
      <c r="I28" s="24" t="str">
        <f t="shared" si="1"/>
        <v>PASS</v>
      </c>
      <c r="J28" s="30">
        <v>62.5</v>
      </c>
      <c r="K28" s="24" t="str">
        <f t="shared" si="2"/>
        <v>PASS</v>
      </c>
      <c r="L28" s="30">
        <v>63</v>
      </c>
      <c r="M28" s="24" t="str">
        <f t="shared" si="3"/>
        <v>PASS</v>
      </c>
      <c r="N28" s="30">
        <v>33</v>
      </c>
      <c r="O28" s="24" t="str">
        <f t="shared" si="4"/>
        <v>PASS</v>
      </c>
      <c r="P28" s="29">
        <f t="shared" si="5"/>
        <v>300.2</v>
      </c>
      <c r="Q28" s="24" t="str">
        <f t="shared" si="6"/>
        <v>PASS</v>
      </c>
      <c r="R28" s="32">
        <f t="shared" si="7"/>
        <v>66.711111111111109</v>
      </c>
    </row>
    <row r="29" spans="1:18" x14ac:dyDescent="0.35">
      <c r="A29" s="29">
        <v>3785734</v>
      </c>
      <c r="B29" s="30" t="s">
        <v>75</v>
      </c>
      <c r="C29" s="30" t="s">
        <v>104</v>
      </c>
      <c r="D29" s="30" t="s">
        <v>119</v>
      </c>
      <c r="E29" s="31">
        <v>46178</v>
      </c>
      <c r="F29" s="30">
        <v>67.5</v>
      </c>
      <c r="G29" s="24" t="str">
        <f t="shared" si="0"/>
        <v>PASS</v>
      </c>
      <c r="H29" s="30">
        <v>75.5</v>
      </c>
      <c r="I29" s="24" t="str">
        <f t="shared" si="1"/>
        <v>PASS</v>
      </c>
      <c r="J29" s="30">
        <v>89.6</v>
      </c>
      <c r="K29" s="24" t="str">
        <f t="shared" si="2"/>
        <v>PASS</v>
      </c>
      <c r="L29" s="30">
        <v>83.9</v>
      </c>
      <c r="M29" s="24" t="str">
        <f t="shared" si="3"/>
        <v>PASS</v>
      </c>
      <c r="N29" s="30">
        <v>39</v>
      </c>
      <c r="O29" s="24" t="str">
        <f t="shared" si="4"/>
        <v>PASS</v>
      </c>
      <c r="P29" s="29">
        <f t="shared" si="5"/>
        <v>355.5</v>
      </c>
      <c r="Q29" s="24" t="str">
        <f t="shared" si="6"/>
        <v>PASS</v>
      </c>
      <c r="R29" s="32">
        <f t="shared" si="7"/>
        <v>79</v>
      </c>
    </row>
    <row r="30" spans="1:18" x14ac:dyDescent="0.35">
      <c r="A30" s="29">
        <v>3785734</v>
      </c>
      <c r="B30" s="30" t="s">
        <v>76</v>
      </c>
      <c r="C30" s="30" t="s">
        <v>105</v>
      </c>
      <c r="D30" s="30" t="s">
        <v>118</v>
      </c>
      <c r="E30" s="31">
        <v>46178</v>
      </c>
      <c r="F30" s="30">
        <v>65</v>
      </c>
      <c r="G30" s="24" t="str">
        <f t="shared" si="0"/>
        <v>PASS</v>
      </c>
      <c r="H30" s="30">
        <v>64.099999999999994</v>
      </c>
      <c r="I30" s="24" t="str">
        <f t="shared" si="1"/>
        <v>PASS</v>
      </c>
      <c r="J30" s="30">
        <v>70.099999999999994</v>
      </c>
      <c r="K30" s="24" t="str">
        <f t="shared" si="2"/>
        <v>PASS</v>
      </c>
      <c r="L30" s="30">
        <v>64</v>
      </c>
      <c r="M30" s="24" t="str">
        <f t="shared" si="3"/>
        <v>PASS</v>
      </c>
      <c r="N30" s="30">
        <v>33</v>
      </c>
      <c r="O30" s="24" t="str">
        <f t="shared" si="4"/>
        <v>PASS</v>
      </c>
      <c r="P30" s="29">
        <f t="shared" si="5"/>
        <v>296.2</v>
      </c>
      <c r="Q30" s="24" t="str">
        <f t="shared" si="6"/>
        <v>PASS</v>
      </c>
      <c r="R30" s="32">
        <f t="shared" si="7"/>
        <v>65.822222222222209</v>
      </c>
    </row>
    <row r="31" spans="1:18" x14ac:dyDescent="0.35">
      <c r="A31" s="29">
        <v>3785734</v>
      </c>
      <c r="B31" s="30" t="s">
        <v>77</v>
      </c>
      <c r="C31" s="30" t="s">
        <v>106</v>
      </c>
      <c r="D31" s="30" t="s">
        <v>118</v>
      </c>
      <c r="E31" s="31">
        <v>46178</v>
      </c>
      <c r="F31" s="30">
        <v>59</v>
      </c>
      <c r="G31" s="24" t="str">
        <f t="shared" si="0"/>
        <v>PASS</v>
      </c>
      <c r="H31" s="30">
        <v>69.7</v>
      </c>
      <c r="I31" s="24" t="str">
        <f t="shared" si="1"/>
        <v>PASS</v>
      </c>
      <c r="J31" s="30">
        <v>70.599999999999994</v>
      </c>
      <c r="K31" s="24" t="str">
        <f t="shared" si="2"/>
        <v>PASS</v>
      </c>
      <c r="L31" s="30">
        <v>67</v>
      </c>
      <c r="M31" s="24" t="str">
        <f t="shared" si="3"/>
        <v>PASS</v>
      </c>
      <c r="N31" s="30">
        <v>34</v>
      </c>
      <c r="O31" s="24" t="str">
        <f t="shared" si="4"/>
        <v>PASS</v>
      </c>
      <c r="P31" s="29">
        <f t="shared" si="5"/>
        <v>300.29999999999995</v>
      </c>
      <c r="Q31" s="24" t="str">
        <f t="shared" si="6"/>
        <v>PASS</v>
      </c>
      <c r="R31" s="32">
        <f t="shared" si="7"/>
        <v>66.73333333333332</v>
      </c>
    </row>
    <row r="32" spans="1:18" x14ac:dyDescent="0.35">
      <c r="A32" s="29">
        <v>3785734</v>
      </c>
      <c r="B32" s="30" t="s">
        <v>78</v>
      </c>
      <c r="C32" s="30" t="s">
        <v>107</v>
      </c>
      <c r="D32" s="30" t="s">
        <v>118</v>
      </c>
      <c r="E32" s="31">
        <v>46178</v>
      </c>
      <c r="F32" s="30">
        <v>67</v>
      </c>
      <c r="G32" s="24" t="str">
        <f t="shared" si="0"/>
        <v>PASS</v>
      </c>
      <c r="H32" s="30">
        <v>68.5</v>
      </c>
      <c r="I32" s="24" t="str">
        <f t="shared" si="1"/>
        <v>PASS</v>
      </c>
      <c r="J32" s="30">
        <v>62.3</v>
      </c>
      <c r="K32" s="24" t="str">
        <f t="shared" si="2"/>
        <v>PASS</v>
      </c>
      <c r="L32" s="30">
        <v>73</v>
      </c>
      <c r="M32" s="24" t="str">
        <f t="shared" si="3"/>
        <v>PASS</v>
      </c>
      <c r="N32" s="30">
        <v>32</v>
      </c>
      <c r="O32" s="24" t="str">
        <f t="shared" si="4"/>
        <v>PASS</v>
      </c>
      <c r="P32" s="29">
        <f t="shared" si="5"/>
        <v>302.8</v>
      </c>
      <c r="Q32" s="24" t="str">
        <f t="shared" si="6"/>
        <v>PASS</v>
      </c>
      <c r="R32" s="32">
        <f t="shared" si="7"/>
        <v>67.288888888888891</v>
      </c>
    </row>
    <row r="33" spans="1:18" x14ac:dyDescent="0.35">
      <c r="A33" s="29">
        <v>3785734</v>
      </c>
      <c r="B33" s="30" t="s">
        <v>79</v>
      </c>
      <c r="C33" s="30" t="s">
        <v>108</v>
      </c>
      <c r="D33" s="30" t="s">
        <v>118</v>
      </c>
      <c r="E33" s="31">
        <v>46178</v>
      </c>
      <c r="F33" s="30">
        <v>67</v>
      </c>
      <c r="G33" s="24" t="str">
        <f t="shared" si="0"/>
        <v>PASS</v>
      </c>
      <c r="H33" s="30">
        <v>71.900000000000006</v>
      </c>
      <c r="I33" s="24" t="str">
        <f t="shared" si="1"/>
        <v>PASS</v>
      </c>
      <c r="J33" s="30">
        <v>72</v>
      </c>
      <c r="K33" s="24" t="str">
        <f t="shared" si="2"/>
        <v>PASS</v>
      </c>
      <c r="L33" s="30">
        <v>67</v>
      </c>
      <c r="M33" s="24" t="str">
        <f t="shared" si="3"/>
        <v>PASS</v>
      </c>
      <c r="N33" s="30">
        <v>34</v>
      </c>
      <c r="O33" s="24" t="str">
        <f t="shared" si="4"/>
        <v>PASS</v>
      </c>
      <c r="P33" s="29">
        <f t="shared" si="5"/>
        <v>311.89999999999998</v>
      </c>
      <c r="Q33" s="24" t="str">
        <f t="shared" si="6"/>
        <v>PASS</v>
      </c>
      <c r="R33" s="32">
        <f t="shared" si="7"/>
        <v>69.311111111111103</v>
      </c>
    </row>
    <row r="34" spans="1:18" x14ac:dyDescent="0.35">
      <c r="A34" s="29">
        <v>3785734</v>
      </c>
      <c r="B34" s="30" t="s">
        <v>80</v>
      </c>
      <c r="C34" s="30" t="s">
        <v>109</v>
      </c>
      <c r="D34" s="30" t="s">
        <v>118</v>
      </c>
      <c r="E34" s="31">
        <v>46178</v>
      </c>
      <c r="F34" s="30">
        <v>67.599999999999994</v>
      </c>
      <c r="G34" s="24" t="str">
        <f t="shared" si="0"/>
        <v>PASS</v>
      </c>
      <c r="H34" s="30">
        <v>65.7</v>
      </c>
      <c r="I34" s="24" t="str">
        <f t="shared" si="1"/>
        <v>PASS</v>
      </c>
      <c r="J34" s="30">
        <v>70.5</v>
      </c>
      <c r="K34" s="24" t="str">
        <f t="shared" si="2"/>
        <v>PASS</v>
      </c>
      <c r="L34" s="30">
        <v>68</v>
      </c>
      <c r="M34" s="24" t="str">
        <f t="shared" si="3"/>
        <v>PASS</v>
      </c>
      <c r="N34" s="30">
        <v>29</v>
      </c>
      <c r="O34" s="24" t="str">
        <f t="shared" si="4"/>
        <v>PASS</v>
      </c>
      <c r="P34" s="29">
        <f t="shared" si="5"/>
        <v>300.8</v>
      </c>
      <c r="Q34" s="24" t="str">
        <f t="shared" si="6"/>
        <v>PASS</v>
      </c>
      <c r="R34" s="32">
        <f t="shared" si="7"/>
        <v>66.844444444444449</v>
      </c>
    </row>
    <row r="35" spans="1:18" x14ac:dyDescent="0.35">
      <c r="A35" s="29">
        <v>3785734</v>
      </c>
      <c r="B35" s="30" t="s">
        <v>81</v>
      </c>
      <c r="C35" s="30" t="s">
        <v>110</v>
      </c>
      <c r="D35" s="30" t="s">
        <v>119</v>
      </c>
      <c r="E35" s="31">
        <v>46178</v>
      </c>
      <c r="F35" s="30">
        <v>66</v>
      </c>
      <c r="G35" s="24" t="str">
        <f t="shared" si="0"/>
        <v>PASS</v>
      </c>
      <c r="H35" s="30">
        <v>68</v>
      </c>
      <c r="I35" s="24" t="str">
        <f t="shared" si="1"/>
        <v>PASS</v>
      </c>
      <c r="J35" s="30">
        <v>63</v>
      </c>
      <c r="K35" s="24" t="str">
        <f t="shared" si="2"/>
        <v>PASS</v>
      </c>
      <c r="L35" s="30">
        <v>68</v>
      </c>
      <c r="M35" s="24" t="str">
        <f t="shared" si="3"/>
        <v>PASS</v>
      </c>
      <c r="N35" s="30">
        <v>34</v>
      </c>
      <c r="O35" s="24" t="str">
        <f t="shared" si="4"/>
        <v>PASS</v>
      </c>
      <c r="P35" s="29">
        <f t="shared" si="5"/>
        <v>299</v>
      </c>
      <c r="Q35" s="24" t="str">
        <f t="shared" si="6"/>
        <v>PASS</v>
      </c>
      <c r="R35" s="32">
        <f t="shared" si="7"/>
        <v>66.444444444444443</v>
      </c>
    </row>
    <row r="36" spans="1:18" x14ac:dyDescent="0.35">
      <c r="A36" s="29">
        <v>3785734</v>
      </c>
      <c r="B36" s="30" t="s">
        <v>82</v>
      </c>
      <c r="C36" s="30" t="s">
        <v>111</v>
      </c>
      <c r="D36" s="30" t="s">
        <v>118</v>
      </c>
      <c r="E36" s="31">
        <v>46178</v>
      </c>
      <c r="F36" s="30">
        <v>73.5</v>
      </c>
      <c r="G36" s="24" t="str">
        <f t="shared" si="0"/>
        <v>PASS</v>
      </c>
      <c r="H36" s="30">
        <v>73.099999999999994</v>
      </c>
      <c r="I36" s="24" t="str">
        <f t="shared" si="1"/>
        <v>PASS</v>
      </c>
      <c r="J36" s="30">
        <v>61.4</v>
      </c>
      <c r="K36" s="24" t="str">
        <f t="shared" si="2"/>
        <v>PASS</v>
      </c>
      <c r="L36" s="30">
        <v>69.2</v>
      </c>
      <c r="M36" s="24" t="str">
        <f t="shared" si="3"/>
        <v>PASS</v>
      </c>
      <c r="N36" s="30">
        <v>31</v>
      </c>
      <c r="O36" s="24" t="str">
        <f t="shared" si="4"/>
        <v>PASS</v>
      </c>
      <c r="P36" s="29">
        <f t="shared" si="5"/>
        <v>308.2</v>
      </c>
      <c r="Q36" s="24" t="str">
        <f t="shared" si="6"/>
        <v>PASS</v>
      </c>
      <c r="R36" s="32">
        <f t="shared" si="7"/>
        <v>68.488888888888894</v>
      </c>
    </row>
    <row r="37" spans="1:18" x14ac:dyDescent="0.35">
      <c r="A37" s="29">
        <v>3785734</v>
      </c>
      <c r="B37" s="30" t="s">
        <v>83</v>
      </c>
      <c r="C37" s="30" t="s">
        <v>112</v>
      </c>
      <c r="D37" s="30" t="s">
        <v>119</v>
      </c>
      <c r="E37" s="31">
        <v>46178</v>
      </c>
      <c r="F37" s="30">
        <v>75.599999999999994</v>
      </c>
      <c r="G37" s="24" t="str">
        <f t="shared" si="0"/>
        <v>PASS</v>
      </c>
      <c r="H37" s="30">
        <v>57.3</v>
      </c>
      <c r="I37" s="24" t="str">
        <f t="shared" si="1"/>
        <v>PASS</v>
      </c>
      <c r="J37" s="30">
        <v>64.8</v>
      </c>
      <c r="K37" s="24" t="str">
        <f t="shared" si="2"/>
        <v>PASS</v>
      </c>
      <c r="L37" s="30">
        <v>58.9</v>
      </c>
      <c r="M37" s="24" t="str">
        <f t="shared" si="3"/>
        <v>PASS</v>
      </c>
      <c r="N37" s="30">
        <v>25</v>
      </c>
      <c r="O37" s="24" t="str">
        <f t="shared" si="4"/>
        <v>PASS</v>
      </c>
      <c r="P37" s="29">
        <f t="shared" si="5"/>
        <v>281.59999999999997</v>
      </c>
      <c r="Q37" s="24" t="str">
        <f t="shared" si="6"/>
        <v>PASS</v>
      </c>
      <c r="R37" s="32">
        <f t="shared" si="7"/>
        <v>62.577777777777769</v>
      </c>
    </row>
    <row r="38" spans="1:18" x14ac:dyDescent="0.35">
      <c r="A38" s="29">
        <v>3785734</v>
      </c>
      <c r="B38" s="30" t="s">
        <v>84</v>
      </c>
      <c r="C38" s="30" t="s">
        <v>113</v>
      </c>
      <c r="D38" s="30" t="s">
        <v>119</v>
      </c>
      <c r="E38" s="31">
        <v>46178</v>
      </c>
      <c r="F38" s="30">
        <v>70</v>
      </c>
      <c r="G38" s="24" t="str">
        <f t="shared" si="0"/>
        <v>PASS</v>
      </c>
      <c r="H38" s="30">
        <v>63.1</v>
      </c>
      <c r="I38" s="24" t="str">
        <f t="shared" si="1"/>
        <v>PASS</v>
      </c>
      <c r="J38" s="30">
        <v>63.5</v>
      </c>
      <c r="K38" s="24" t="str">
        <f t="shared" si="2"/>
        <v>PASS</v>
      </c>
      <c r="L38" s="30">
        <v>57.7</v>
      </c>
      <c r="M38" s="24" t="str">
        <f t="shared" si="3"/>
        <v>PASS</v>
      </c>
      <c r="N38" s="30">
        <v>22</v>
      </c>
      <c r="O38" s="24" t="str">
        <f t="shared" si="4"/>
        <v>FAIL</v>
      </c>
      <c r="P38" s="29">
        <f t="shared" si="5"/>
        <v>276.3</v>
      </c>
      <c r="Q38" s="24" t="str">
        <f t="shared" si="6"/>
        <v>PASS</v>
      </c>
      <c r="R38" s="32">
        <f t="shared" si="7"/>
        <v>61.4</v>
      </c>
    </row>
    <row r="39" spans="1:18" x14ac:dyDescent="0.35">
      <c r="A39" s="29">
        <v>3785734</v>
      </c>
      <c r="B39" s="30" t="s">
        <v>85</v>
      </c>
      <c r="C39" s="30" t="s">
        <v>114</v>
      </c>
      <c r="D39" s="30" t="s">
        <v>118</v>
      </c>
      <c r="E39" s="31">
        <v>46178</v>
      </c>
      <c r="F39" s="30">
        <v>79</v>
      </c>
      <c r="G39" s="24" t="str">
        <f t="shared" si="0"/>
        <v>PASS</v>
      </c>
      <c r="H39" s="30">
        <v>69.900000000000006</v>
      </c>
      <c r="I39" s="24" t="str">
        <f t="shared" si="1"/>
        <v>PASS</v>
      </c>
      <c r="J39" s="30">
        <v>73.5</v>
      </c>
      <c r="K39" s="24" t="str">
        <f t="shared" si="2"/>
        <v>PASS</v>
      </c>
      <c r="L39" s="30">
        <v>45</v>
      </c>
      <c r="M39" s="24" t="str">
        <f t="shared" si="3"/>
        <v>FAIL</v>
      </c>
      <c r="N39" s="30">
        <v>17</v>
      </c>
      <c r="O39" s="24" t="str">
        <f t="shared" si="4"/>
        <v>FAIL</v>
      </c>
      <c r="P39" s="29">
        <f t="shared" si="5"/>
        <v>284.39999999999998</v>
      </c>
      <c r="Q39" s="24" t="str">
        <f t="shared" si="6"/>
        <v>PASS</v>
      </c>
      <c r="R39" s="32">
        <f t="shared" si="7"/>
        <v>63.199999999999989</v>
      </c>
    </row>
    <row r="40" spans="1:18" x14ac:dyDescent="0.35">
      <c r="A40" s="29">
        <v>3785734</v>
      </c>
      <c r="B40" s="30" t="s">
        <v>86</v>
      </c>
      <c r="C40" s="30" t="s">
        <v>115</v>
      </c>
      <c r="D40" s="30" t="s">
        <v>118</v>
      </c>
      <c r="E40" s="31">
        <v>46178</v>
      </c>
      <c r="F40" s="30">
        <v>58.2</v>
      </c>
      <c r="G40" s="24" t="str">
        <f t="shared" si="0"/>
        <v>PASS</v>
      </c>
      <c r="H40" s="30">
        <v>16.5</v>
      </c>
      <c r="I40" s="24" t="str">
        <f t="shared" si="1"/>
        <v>FAIL</v>
      </c>
      <c r="J40" s="30">
        <v>17.2</v>
      </c>
      <c r="K40" s="24" t="str">
        <f t="shared" si="2"/>
        <v>FAIL</v>
      </c>
      <c r="L40" s="30">
        <v>24</v>
      </c>
      <c r="M40" s="24" t="str">
        <f t="shared" si="3"/>
        <v>FAIL</v>
      </c>
      <c r="N40" s="30">
        <v>24</v>
      </c>
      <c r="O40" s="24" t="str">
        <f t="shared" si="4"/>
        <v>FAIL</v>
      </c>
      <c r="P40" s="29">
        <f t="shared" si="5"/>
        <v>139.9</v>
      </c>
      <c r="Q40" s="24" t="str">
        <f t="shared" si="6"/>
        <v>FAIL</v>
      </c>
      <c r="R40" s="32">
        <f t="shared" si="7"/>
        <v>31.088888888888889</v>
      </c>
    </row>
    <row r="41" spans="1:18" x14ac:dyDescent="0.35">
      <c r="A41" s="29">
        <v>3785734</v>
      </c>
      <c r="B41" s="30" t="s">
        <v>87</v>
      </c>
      <c r="C41" s="30" t="s">
        <v>116</v>
      </c>
      <c r="D41" s="30" t="s">
        <v>118</v>
      </c>
      <c r="E41" s="31">
        <v>46178</v>
      </c>
      <c r="F41" s="30">
        <v>53</v>
      </c>
      <c r="G41" s="24" t="str">
        <f t="shared" si="0"/>
        <v>PASS</v>
      </c>
      <c r="H41" s="30">
        <v>41.9</v>
      </c>
      <c r="I41" s="24" t="str">
        <f t="shared" si="1"/>
        <v>FAIL</v>
      </c>
      <c r="J41" s="30">
        <v>18.7</v>
      </c>
      <c r="K41" s="24" t="str">
        <f t="shared" si="2"/>
        <v>FAIL</v>
      </c>
      <c r="L41" s="30">
        <v>27</v>
      </c>
      <c r="M41" s="24" t="str">
        <f t="shared" si="3"/>
        <v>FAIL</v>
      </c>
      <c r="N41" s="30">
        <v>9</v>
      </c>
      <c r="O41" s="24" t="str">
        <f t="shared" si="4"/>
        <v>FAIL</v>
      </c>
      <c r="P41" s="29">
        <f t="shared" si="5"/>
        <v>149.60000000000002</v>
      </c>
      <c r="Q41" s="24" t="str">
        <f t="shared" si="6"/>
        <v>FAIL</v>
      </c>
      <c r="R41" s="32">
        <f t="shared" si="7"/>
        <v>33.244444444444447</v>
      </c>
    </row>
    <row r="42" spans="1:18" x14ac:dyDescent="0.35">
      <c r="A42" s="29">
        <v>3785734</v>
      </c>
      <c r="B42" s="30" t="s">
        <v>88</v>
      </c>
      <c r="C42" s="30" t="s">
        <v>117</v>
      </c>
      <c r="D42" s="30" t="s">
        <v>118</v>
      </c>
      <c r="E42" s="31">
        <v>46178</v>
      </c>
      <c r="F42" s="30">
        <v>59</v>
      </c>
      <c r="G42" s="24" t="str">
        <f t="shared" si="0"/>
        <v>PASS</v>
      </c>
      <c r="H42" s="30">
        <v>68</v>
      </c>
      <c r="I42" s="24" t="str">
        <f t="shared" si="1"/>
        <v>PASS</v>
      </c>
      <c r="J42" s="30">
        <v>66.2</v>
      </c>
      <c r="K42" s="24" t="str">
        <f t="shared" si="2"/>
        <v>PASS</v>
      </c>
      <c r="L42" s="30">
        <v>68.099999999999994</v>
      </c>
      <c r="M42" s="24" t="str">
        <f t="shared" si="3"/>
        <v>PASS</v>
      </c>
      <c r="N42" s="30">
        <v>30</v>
      </c>
      <c r="O42" s="24" t="str">
        <f t="shared" si="4"/>
        <v>PASS</v>
      </c>
      <c r="P42" s="29">
        <f t="shared" si="5"/>
        <v>291.29999999999995</v>
      </c>
      <c r="Q42" s="24" t="str">
        <f t="shared" si="6"/>
        <v>PASS</v>
      </c>
      <c r="R42" s="32">
        <f t="shared" si="7"/>
        <v>64.73333333333332</v>
      </c>
    </row>
  </sheetData>
  <conditionalFormatting sqref="C14:C39">
    <cfRule type="duplicateValues" dxfId="1" priority="14"/>
  </conditionalFormatting>
  <conditionalFormatting sqref="E14:E42 P14:P42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I12" sqref="I12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33" t="s">
        <v>9</v>
      </c>
      <c r="B1" s="33"/>
      <c r="C1" s="33"/>
      <c r="D1" s="33"/>
      <c r="E1" s="33"/>
      <c r="F1" s="33"/>
      <c r="G1" s="33"/>
    </row>
    <row r="2" spans="1:7" x14ac:dyDescent="0.35">
      <c r="A2" s="34" t="s">
        <v>10</v>
      </c>
      <c r="B2" s="34"/>
      <c r="C2" s="34"/>
      <c r="D2" s="34"/>
      <c r="E2" s="34"/>
      <c r="F2" s="34"/>
      <c r="G2" s="34"/>
    </row>
    <row r="3" spans="1:7" x14ac:dyDescent="0.35">
      <c r="A3" s="2" t="s">
        <v>11</v>
      </c>
      <c r="B3" s="35">
        <f>score_sheet!B10</f>
        <v>3785734</v>
      </c>
      <c r="C3" s="36"/>
      <c r="D3" s="36"/>
      <c r="E3" s="36"/>
      <c r="F3" s="36"/>
      <c r="G3" s="37"/>
    </row>
    <row r="4" spans="1:7" ht="26" x14ac:dyDescent="0.35">
      <c r="A4" s="23" t="s">
        <v>12</v>
      </c>
      <c r="B4" s="38" t="str">
        <f>score_sheet!B6</f>
        <v>TPA</v>
      </c>
      <c r="C4" s="39"/>
      <c r="D4" s="3" t="s">
        <v>13</v>
      </c>
      <c r="E4" s="40">
        <v>0.5</v>
      </c>
      <c r="F4" s="41"/>
      <c r="G4" s="39"/>
    </row>
    <row r="5" spans="1:7" x14ac:dyDescent="0.35">
      <c r="A5" s="4" t="s">
        <v>7</v>
      </c>
      <c r="B5" s="42">
        <f>score_sheet!E14</f>
        <v>46178</v>
      </c>
      <c r="C5" s="43"/>
      <c r="D5" s="43"/>
      <c r="E5" s="43"/>
      <c r="F5" s="43"/>
      <c r="G5" s="44"/>
    </row>
    <row r="6" spans="1:7" x14ac:dyDescent="0.3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5" customHeight="1" x14ac:dyDescent="0.35">
      <c r="A7" s="45" t="s">
        <v>15</v>
      </c>
      <c r="C7" s="5" t="s">
        <v>16</v>
      </c>
      <c r="D7" s="51" t="s">
        <v>25</v>
      </c>
      <c r="E7" s="52"/>
      <c r="F7" s="10" t="s">
        <v>26</v>
      </c>
      <c r="G7" s="10" t="s">
        <v>27</v>
      </c>
    </row>
    <row r="8" spans="1:7" x14ac:dyDescent="0.35">
      <c r="A8" s="46"/>
      <c r="B8" s="7" t="s">
        <v>17</v>
      </c>
      <c r="C8" s="8">
        <f>COUNT(score_sheet!R14:R42)</f>
        <v>29</v>
      </c>
      <c r="D8" s="53"/>
      <c r="E8" s="54"/>
      <c r="F8" s="15">
        <f>COUNTIF(score_sheet!D14:D42,"M")</f>
        <v>9</v>
      </c>
      <c r="G8" s="15">
        <f>COUNTIF(score_sheet!D14:D42,"F")</f>
        <v>20</v>
      </c>
    </row>
    <row r="9" spans="1:7" x14ac:dyDescent="0.35">
      <c r="A9" s="46"/>
      <c r="B9" s="7" t="s">
        <v>18</v>
      </c>
      <c r="C9" s="8">
        <f>COUNTIF(score_sheet!Q14:Q42,"PASS")+COUNTIF(score_sheet!Q14:Q42,"FAIL")</f>
        <v>29</v>
      </c>
      <c r="D9" s="53"/>
      <c r="E9" s="54"/>
      <c r="F9" s="15">
        <f>COUNTIFS(score_sheet!$D$14:$D$42,"M",score_sheet!$Q$14:$Q$42,"PASS")+COUNTIFS(score_sheet!$D$14:$D$42,"M",score_sheet!$Q$14:$Q$42,"FAIL")</f>
        <v>9</v>
      </c>
      <c r="G9" s="15">
        <f>COUNTIFS(score_sheet!$D$14:$D$42,"F",score_sheet!$Q$14:$Q$42,"PASS")+COUNTIFS(score_sheet!$D$14:$D$42,"F",score_sheet!$Q$14:$Q$42,"FAIL")</f>
        <v>20</v>
      </c>
    </row>
    <row r="10" spans="1:7" x14ac:dyDescent="0.35">
      <c r="A10" s="47"/>
      <c r="B10" s="7" t="s">
        <v>19</v>
      </c>
      <c r="C10" s="8">
        <f>COUNTIF(score_sheet!Q14:Q42,"PASS")</f>
        <v>27</v>
      </c>
      <c r="D10" s="55"/>
      <c r="E10" s="56"/>
      <c r="F10" s="15">
        <f>COUNTIFS(score_sheet!$D$14:$D$42,"M",score_sheet!$Q$14:$Q$42,"PASS")</f>
        <v>9</v>
      </c>
      <c r="G10" s="15">
        <f>COUNTIFS(score_sheet!$D$14:$D$42,"F",score_sheet!$Q$14:$Q$42,"PASS")</f>
        <v>18</v>
      </c>
    </row>
    <row r="11" spans="1:7" x14ac:dyDescent="0.35">
      <c r="A11" s="34" t="s">
        <v>20</v>
      </c>
      <c r="B11" s="34"/>
      <c r="C11" s="34"/>
      <c r="D11" s="34"/>
      <c r="E11" s="34"/>
      <c r="F11" s="34"/>
      <c r="G11" s="34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50</v>
      </c>
      <c r="B13" s="11">
        <f>$C$10/$C$9*100</f>
        <v>93.103448275862064</v>
      </c>
      <c r="C13" s="16">
        <f>AVERAGE(score_sheet!F$14:F$42)</f>
        <v>66.848275862068959</v>
      </c>
      <c r="D13" s="16">
        <f>MIN(score_sheet!F$14:F$42)</f>
        <v>52</v>
      </c>
      <c r="E13" s="17">
        <f>MAX(score_sheet!F$14:F$42)</f>
        <v>80.2</v>
      </c>
      <c r="F13" s="18">
        <f>MEDIAN(score_sheet!F$14:F$42)</f>
        <v>67</v>
      </c>
      <c r="G13" s="17">
        <f>STDEVP(score_sheet!F$14:F$42)</f>
        <v>7.3086448901830634</v>
      </c>
    </row>
    <row r="14" spans="1:7" x14ac:dyDescent="0.35">
      <c r="A14" s="1" t="s">
        <v>51</v>
      </c>
      <c r="B14" s="11">
        <f t="shared" ref="B14:B17" si="0">$C$10/$C$9*100</f>
        <v>93.103448275862064</v>
      </c>
      <c r="C14" s="16">
        <f>AVERAGE(score_sheet!H$14:H$42)</f>
        <v>64.400000000000006</v>
      </c>
      <c r="D14" s="16">
        <f>MIN(score_sheet!H$14:H$42)</f>
        <v>16.5</v>
      </c>
      <c r="E14" s="17">
        <f>MAX(score_sheet!H$14:H$42)</f>
        <v>77.900000000000006</v>
      </c>
      <c r="F14" s="18">
        <f>MEDIAN(score_sheet!H$14:H$42)</f>
        <v>67.7</v>
      </c>
      <c r="G14" s="17">
        <f>STDEVP(score_sheet!H$14:H$42)</f>
        <v>11.280529456882068</v>
      </c>
    </row>
    <row r="15" spans="1:7" x14ac:dyDescent="0.35">
      <c r="A15" s="1" t="s">
        <v>52</v>
      </c>
      <c r="B15" s="11">
        <f t="shared" si="0"/>
        <v>93.103448275862064</v>
      </c>
      <c r="C15" s="16">
        <f>AVERAGE(score_sheet!J$14:J$42)</f>
        <v>63.927586206896549</v>
      </c>
      <c r="D15" s="16">
        <f>MIN(score_sheet!J$14:J$42)</f>
        <v>17.2</v>
      </c>
      <c r="E15" s="17">
        <f>MAX(score_sheet!J$14:J$42)</f>
        <v>89.6</v>
      </c>
      <c r="F15" s="18">
        <f>MEDIAN(score_sheet!J$14:J$42)</f>
        <v>65</v>
      </c>
      <c r="G15" s="17">
        <f>STDEVP(score_sheet!J$14:J$42)</f>
        <v>14.396788352381185</v>
      </c>
    </row>
    <row r="16" spans="1:7" x14ac:dyDescent="0.35">
      <c r="A16" s="1" t="s">
        <v>53</v>
      </c>
      <c r="B16" s="11">
        <f t="shared" si="0"/>
        <v>93.103448275862064</v>
      </c>
      <c r="C16" s="16">
        <f>AVERAGE(score_sheet!L$14:L$42)</f>
        <v>59.527586206896551</v>
      </c>
      <c r="D16" s="16">
        <f>MIN(score_sheet!L$14:L$42)</f>
        <v>24</v>
      </c>
      <c r="E16" s="17">
        <f>MAX(score_sheet!L$14:L$42)</f>
        <v>83.9</v>
      </c>
      <c r="F16" s="18">
        <f>MEDIAN(score_sheet!L$14:L$42)</f>
        <v>64</v>
      </c>
      <c r="G16" s="17">
        <f>STDEVP(score_sheet!L$14:L$42)</f>
        <v>13.145102576998394</v>
      </c>
    </row>
    <row r="17" spans="1:7" x14ac:dyDescent="0.35">
      <c r="A17" s="1" t="s">
        <v>54</v>
      </c>
      <c r="B17" s="11">
        <f t="shared" si="0"/>
        <v>93.103448275862064</v>
      </c>
      <c r="C17" s="16">
        <f>AVERAGE(score_sheet!N$14:N$42)</f>
        <v>29.448275862068964</v>
      </c>
      <c r="D17" s="16">
        <f>MIN(score_sheet!N$14:N$42)</f>
        <v>9</v>
      </c>
      <c r="E17" s="17">
        <f>MAX(score_sheet!N$14:N$42)</f>
        <v>43</v>
      </c>
      <c r="F17" s="18">
        <f>MEDIAN(score_sheet!N$14:N$42)</f>
        <v>32</v>
      </c>
      <c r="G17" s="17">
        <f>STDEVP(score_sheet!N$14:N$42)</f>
        <v>8.0111396877294503</v>
      </c>
    </row>
    <row r="18" spans="1:7" x14ac:dyDescent="0.35">
      <c r="A18" s="34" t="s">
        <v>22</v>
      </c>
      <c r="B18" s="34"/>
      <c r="C18" s="34"/>
      <c r="D18" s="34"/>
      <c r="E18" s="34"/>
      <c r="F18" s="34"/>
      <c r="G18" s="34"/>
    </row>
    <row r="19" spans="1:7" x14ac:dyDescent="0.3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35">
      <c r="A20" s="48" t="s">
        <v>50</v>
      </c>
      <c r="B20" s="61" t="s">
        <v>120</v>
      </c>
      <c r="C20" s="61" t="s">
        <v>121</v>
      </c>
      <c r="D20" s="61" t="s">
        <v>122</v>
      </c>
      <c r="E20" s="61" t="s">
        <v>123</v>
      </c>
      <c r="F20" s="61" t="s">
        <v>124</v>
      </c>
      <c r="G20" s="61" t="s">
        <v>125</v>
      </c>
    </row>
    <row r="21" spans="1:7" x14ac:dyDescent="0.35">
      <c r="A21" s="49"/>
      <c r="B21" s="61" t="s">
        <v>126</v>
      </c>
      <c r="C21" s="62"/>
      <c r="D21" s="62"/>
      <c r="E21" s="62"/>
      <c r="F21" s="62"/>
      <c r="G21" s="62"/>
    </row>
    <row r="22" spans="1:7" x14ac:dyDescent="0.35">
      <c r="A22" s="50"/>
      <c r="B22" s="63"/>
      <c r="C22" s="63"/>
      <c r="D22" s="63"/>
      <c r="E22" s="63"/>
      <c r="F22" s="63"/>
      <c r="G22" s="63"/>
    </row>
    <row r="23" spans="1:7" x14ac:dyDescent="0.35">
      <c r="A23" s="48" t="s">
        <v>51</v>
      </c>
      <c r="B23" s="61" t="s">
        <v>127</v>
      </c>
      <c r="C23" s="61" t="s">
        <v>128</v>
      </c>
      <c r="D23" s="61" t="s">
        <v>129</v>
      </c>
      <c r="E23" s="61" t="s">
        <v>130</v>
      </c>
      <c r="F23" s="61" t="s">
        <v>131</v>
      </c>
      <c r="G23" s="61" t="s">
        <v>132</v>
      </c>
    </row>
    <row r="24" spans="1:7" x14ac:dyDescent="0.35">
      <c r="A24" s="49"/>
      <c r="B24" s="61" t="s">
        <v>133</v>
      </c>
      <c r="C24" s="61" t="s">
        <v>134</v>
      </c>
      <c r="D24" s="62"/>
      <c r="E24" s="62"/>
      <c r="F24" s="62"/>
      <c r="G24" s="62"/>
    </row>
    <row r="25" spans="1:7" x14ac:dyDescent="0.35">
      <c r="A25" s="50"/>
      <c r="B25" s="63"/>
      <c r="C25" s="63"/>
      <c r="D25" s="63"/>
      <c r="E25" s="63"/>
      <c r="F25" s="63"/>
      <c r="G25" s="63"/>
    </row>
    <row r="26" spans="1:7" x14ac:dyDescent="0.35">
      <c r="A26" s="48" t="s">
        <v>52</v>
      </c>
      <c r="B26" s="61" t="s">
        <v>135</v>
      </c>
      <c r="C26" s="61" t="s">
        <v>134</v>
      </c>
      <c r="D26" s="61" t="s">
        <v>136</v>
      </c>
      <c r="E26" s="61" t="s">
        <v>125</v>
      </c>
      <c r="F26" s="61" t="s">
        <v>132</v>
      </c>
      <c r="G26" s="61" t="s">
        <v>137</v>
      </c>
    </row>
    <row r="27" spans="1:7" x14ac:dyDescent="0.35">
      <c r="A27" s="49"/>
      <c r="B27" s="61" t="s">
        <v>133</v>
      </c>
      <c r="C27" s="61" t="s">
        <v>121</v>
      </c>
      <c r="D27" s="61" t="s">
        <v>126</v>
      </c>
      <c r="E27" s="62"/>
      <c r="F27" s="62"/>
      <c r="G27" s="62"/>
    </row>
    <row r="28" spans="1:7" x14ac:dyDescent="0.35">
      <c r="A28" s="50"/>
      <c r="B28" s="63"/>
      <c r="C28" s="63"/>
      <c r="D28" s="63"/>
      <c r="E28" s="63"/>
      <c r="F28" s="63"/>
      <c r="G28" s="63"/>
    </row>
    <row r="29" spans="1:7" x14ac:dyDescent="0.35">
      <c r="A29" s="48" t="s">
        <v>53</v>
      </c>
      <c r="B29" s="61" t="s">
        <v>127</v>
      </c>
      <c r="C29" s="61" t="s">
        <v>138</v>
      </c>
      <c r="D29" s="61" t="s">
        <v>120</v>
      </c>
      <c r="E29" s="61" t="s">
        <v>133</v>
      </c>
      <c r="F29" s="61" t="s">
        <v>129</v>
      </c>
      <c r="G29" s="61" t="s">
        <v>134</v>
      </c>
    </row>
    <row r="30" spans="1:7" x14ac:dyDescent="0.35">
      <c r="A30" s="49"/>
      <c r="B30" s="61" t="s">
        <v>128</v>
      </c>
      <c r="C30" s="61" t="s">
        <v>139</v>
      </c>
      <c r="D30" s="61" t="s">
        <v>130</v>
      </c>
      <c r="E30" s="62"/>
      <c r="F30" s="62"/>
      <c r="G30" s="62"/>
    </row>
    <row r="31" spans="1:7" x14ac:dyDescent="0.35">
      <c r="A31" s="50"/>
      <c r="B31" s="63"/>
      <c r="C31" s="63"/>
      <c r="D31" s="63"/>
      <c r="E31" s="63"/>
      <c r="F31" s="63"/>
      <c r="G31" s="63"/>
    </row>
    <row r="32" spans="1:7" x14ac:dyDescent="0.35">
      <c r="A32" s="48" t="s">
        <v>54</v>
      </c>
      <c r="B32" s="61" t="s">
        <v>127</v>
      </c>
      <c r="C32" s="61" t="s">
        <v>120</v>
      </c>
      <c r="D32" s="61" t="s">
        <v>130</v>
      </c>
      <c r="E32" s="61" t="s">
        <v>134</v>
      </c>
      <c r="F32" s="63"/>
      <c r="G32" s="63"/>
    </row>
    <row r="33" spans="1:7" x14ac:dyDescent="0.35">
      <c r="A33" s="49"/>
      <c r="B33" s="63"/>
      <c r="C33" s="63"/>
      <c r="D33" s="63"/>
      <c r="E33" s="63"/>
      <c r="F33" s="63"/>
      <c r="G33" s="63"/>
    </row>
    <row r="34" spans="1:7" x14ac:dyDescent="0.35">
      <c r="A34" s="50"/>
      <c r="B34" s="63"/>
      <c r="C34" s="63"/>
      <c r="D34" s="63"/>
      <c r="E34" s="63"/>
      <c r="F34" s="63"/>
      <c r="G34" s="63"/>
    </row>
    <row r="35" spans="1:7" x14ac:dyDescent="0.35">
      <c r="A35" s="57" t="s">
        <v>37</v>
      </c>
      <c r="B35" s="58"/>
      <c r="C35" s="58"/>
      <c r="D35" s="58"/>
      <c r="E35" s="58"/>
      <c r="F35" s="58"/>
      <c r="G35" s="59"/>
    </row>
    <row r="36" spans="1:7" x14ac:dyDescent="0.35">
      <c r="A36" s="48" t="s">
        <v>50</v>
      </c>
      <c r="B36" s="60" t="s">
        <v>129</v>
      </c>
      <c r="C36" s="60" t="s">
        <v>132</v>
      </c>
      <c r="D36" s="19"/>
      <c r="E36" s="19"/>
      <c r="F36" s="19"/>
      <c r="G36" s="19"/>
    </row>
    <row r="37" spans="1:7" x14ac:dyDescent="0.35">
      <c r="A37" s="49"/>
      <c r="B37" s="19"/>
      <c r="C37" s="19"/>
      <c r="D37" s="19"/>
      <c r="E37" s="19"/>
      <c r="F37" s="19"/>
      <c r="G37" s="19"/>
    </row>
    <row r="38" spans="1:7" x14ac:dyDescent="0.35">
      <c r="A38" s="50"/>
      <c r="B38" s="19"/>
      <c r="C38" s="19"/>
      <c r="D38" s="19"/>
      <c r="E38" s="19"/>
      <c r="F38" s="19"/>
      <c r="G38" s="19"/>
    </row>
    <row r="39" spans="1:7" x14ac:dyDescent="0.35">
      <c r="A39" s="48" t="s">
        <v>51</v>
      </c>
      <c r="B39" s="60" t="s">
        <v>135</v>
      </c>
      <c r="C39" s="19"/>
      <c r="D39" s="19"/>
      <c r="E39" s="19"/>
      <c r="F39" s="19"/>
      <c r="G39" s="19"/>
    </row>
    <row r="40" spans="1:7" x14ac:dyDescent="0.35">
      <c r="A40" s="49"/>
      <c r="B40" s="19"/>
      <c r="C40" s="19"/>
      <c r="D40" s="19"/>
      <c r="E40" s="19"/>
      <c r="F40" s="19"/>
      <c r="G40" s="19"/>
    </row>
    <row r="41" spans="1:7" x14ac:dyDescent="0.35">
      <c r="A41" s="50"/>
      <c r="B41" s="19"/>
      <c r="C41" s="19"/>
      <c r="D41" s="19"/>
      <c r="E41" s="19"/>
      <c r="F41" s="19"/>
      <c r="G41" s="19"/>
    </row>
    <row r="42" spans="1:7" x14ac:dyDescent="0.35">
      <c r="A42" s="48" t="s">
        <v>52</v>
      </c>
      <c r="B42" s="60" t="s">
        <v>139</v>
      </c>
      <c r="C42" s="19"/>
      <c r="D42" s="19"/>
      <c r="E42" s="19"/>
      <c r="F42" s="19"/>
      <c r="G42" s="19"/>
    </row>
    <row r="43" spans="1:7" x14ac:dyDescent="0.35">
      <c r="A43" s="49"/>
      <c r="B43" s="19"/>
      <c r="C43" s="19"/>
      <c r="D43" s="19"/>
      <c r="E43" s="19"/>
      <c r="F43" s="19"/>
      <c r="G43" s="19"/>
    </row>
    <row r="44" spans="1:7" x14ac:dyDescent="0.35">
      <c r="A44" s="50"/>
      <c r="B44" s="19"/>
      <c r="C44" s="19"/>
      <c r="D44" s="19"/>
      <c r="E44" s="19"/>
      <c r="F44" s="19"/>
      <c r="G44" s="19"/>
    </row>
    <row r="45" spans="1:7" x14ac:dyDescent="0.35">
      <c r="A45" s="48" t="s">
        <v>53</v>
      </c>
      <c r="B45" s="19"/>
      <c r="C45" s="19"/>
      <c r="D45" s="19"/>
      <c r="E45" s="19"/>
      <c r="F45" s="19"/>
      <c r="G45" s="19"/>
    </row>
    <row r="46" spans="1:7" x14ac:dyDescent="0.35">
      <c r="A46" s="49"/>
      <c r="B46" s="19"/>
      <c r="C46" s="19"/>
      <c r="D46" s="19"/>
      <c r="E46" s="19"/>
      <c r="F46" s="19"/>
      <c r="G46" s="19"/>
    </row>
    <row r="47" spans="1:7" x14ac:dyDescent="0.35">
      <c r="A47" s="50"/>
      <c r="B47" s="19"/>
      <c r="C47" s="19"/>
      <c r="D47" s="19"/>
      <c r="E47" s="19"/>
      <c r="F47" s="19"/>
      <c r="G47" s="19"/>
    </row>
    <row r="48" spans="1:7" x14ac:dyDescent="0.35">
      <c r="A48" s="48" t="s">
        <v>54</v>
      </c>
      <c r="B48" s="60" t="s">
        <v>138</v>
      </c>
      <c r="C48" s="19"/>
      <c r="D48" s="19"/>
      <c r="E48" s="19"/>
      <c r="F48" s="19"/>
      <c r="G48" s="19"/>
    </row>
    <row r="49" spans="1:7" x14ac:dyDescent="0.35">
      <c r="A49" s="49"/>
      <c r="B49" s="19"/>
      <c r="C49" s="19"/>
      <c r="D49" s="19"/>
      <c r="E49" s="19"/>
      <c r="F49" s="19"/>
      <c r="G49" s="19"/>
    </row>
    <row r="50" spans="1:7" x14ac:dyDescent="0.35">
      <c r="A50" s="50"/>
      <c r="B50" s="19"/>
      <c r="C50" s="19"/>
      <c r="D50" s="19"/>
      <c r="E50" s="19"/>
      <c r="F50" s="19"/>
      <c r="G50" s="19"/>
    </row>
    <row r="51" spans="1:7" x14ac:dyDescent="0.35">
      <c r="A51" s="57" t="s">
        <v>23</v>
      </c>
      <c r="B51" s="58"/>
      <c r="C51" s="58"/>
      <c r="D51" s="58"/>
      <c r="E51" s="58"/>
      <c r="F51" s="58"/>
      <c r="G51" s="59"/>
    </row>
    <row r="52" spans="1:7" x14ac:dyDescent="0.35">
      <c r="A52" s="48" t="s">
        <v>50</v>
      </c>
      <c r="B52" s="60" t="s">
        <v>141</v>
      </c>
      <c r="C52" s="60" t="s">
        <v>133</v>
      </c>
      <c r="D52" s="19"/>
      <c r="E52" s="19"/>
      <c r="F52" s="19"/>
      <c r="G52" s="19"/>
    </row>
    <row r="53" spans="1:7" x14ac:dyDescent="0.35">
      <c r="A53" s="49"/>
      <c r="B53" s="19"/>
      <c r="C53" s="19"/>
      <c r="D53" s="19"/>
      <c r="E53" s="19"/>
      <c r="F53" s="19"/>
      <c r="G53" s="19"/>
    </row>
    <row r="54" spans="1:7" x14ac:dyDescent="0.35">
      <c r="A54" s="50"/>
      <c r="B54" s="19"/>
      <c r="C54" s="19"/>
      <c r="D54" s="19"/>
      <c r="E54" s="19"/>
      <c r="F54" s="19"/>
      <c r="G54" s="19"/>
    </row>
    <row r="55" spans="1:7" x14ac:dyDescent="0.35">
      <c r="A55" s="48" t="s">
        <v>51</v>
      </c>
      <c r="B55" s="60" t="s">
        <v>141</v>
      </c>
      <c r="C55" s="19"/>
      <c r="D55" s="19"/>
      <c r="E55" s="19"/>
      <c r="F55" s="19"/>
      <c r="G55" s="19"/>
    </row>
    <row r="56" spans="1:7" x14ac:dyDescent="0.35">
      <c r="A56" s="49"/>
      <c r="B56" s="19"/>
      <c r="C56" s="19"/>
      <c r="D56" s="19"/>
      <c r="E56" s="19"/>
      <c r="F56" s="19"/>
      <c r="G56" s="19"/>
    </row>
    <row r="57" spans="1:7" x14ac:dyDescent="0.35">
      <c r="A57" s="50"/>
      <c r="B57" s="19"/>
      <c r="C57" s="19"/>
      <c r="D57" s="19"/>
      <c r="E57" s="19"/>
      <c r="F57" s="19"/>
      <c r="G57" s="19"/>
    </row>
    <row r="58" spans="1:7" x14ac:dyDescent="0.35">
      <c r="A58" s="48" t="s">
        <v>52</v>
      </c>
      <c r="B58" s="60" t="s">
        <v>140</v>
      </c>
      <c r="C58" s="60" t="s">
        <v>141</v>
      </c>
      <c r="D58" s="19"/>
      <c r="E58" s="19"/>
      <c r="F58" s="19"/>
      <c r="G58" s="19"/>
    </row>
    <row r="59" spans="1:7" x14ac:dyDescent="0.35">
      <c r="A59" s="49"/>
      <c r="B59" s="19"/>
      <c r="C59" s="19"/>
      <c r="D59" s="19"/>
      <c r="E59" s="19"/>
      <c r="F59" s="19"/>
      <c r="G59" s="19"/>
    </row>
    <row r="60" spans="1:7" x14ac:dyDescent="0.35">
      <c r="A60" s="50"/>
      <c r="B60" s="19"/>
      <c r="C60" s="19"/>
      <c r="D60" s="19"/>
      <c r="E60" s="19"/>
      <c r="F60" s="19"/>
      <c r="G60" s="19"/>
    </row>
    <row r="61" spans="1:7" ht="15" customHeight="1" x14ac:dyDescent="0.35">
      <c r="A61" s="48" t="s">
        <v>53</v>
      </c>
      <c r="B61" s="60" t="s">
        <v>141</v>
      </c>
      <c r="C61" s="19"/>
      <c r="D61" s="19"/>
      <c r="E61" s="19"/>
      <c r="F61" s="19"/>
      <c r="G61" s="19"/>
    </row>
    <row r="62" spans="1:7" x14ac:dyDescent="0.35">
      <c r="A62" s="49"/>
      <c r="B62" s="19"/>
      <c r="C62" s="19"/>
      <c r="D62" s="19"/>
      <c r="E62" s="19"/>
      <c r="F62" s="19"/>
      <c r="G62" s="19"/>
    </row>
    <row r="63" spans="1:7" x14ac:dyDescent="0.35">
      <c r="A63" s="50"/>
      <c r="B63" s="19"/>
      <c r="C63" s="19"/>
      <c r="D63" s="19"/>
      <c r="E63" s="19"/>
      <c r="F63" s="19"/>
      <c r="G63" s="19"/>
    </row>
    <row r="64" spans="1:7" x14ac:dyDescent="0.35">
      <c r="A64" s="48" t="s">
        <v>54</v>
      </c>
      <c r="B64" s="60" t="s">
        <v>141</v>
      </c>
      <c r="C64" s="60" t="s">
        <v>135</v>
      </c>
      <c r="D64" s="19" t="s">
        <v>128</v>
      </c>
      <c r="E64" s="19" t="s">
        <v>133</v>
      </c>
      <c r="F64" s="19" t="s">
        <v>139</v>
      </c>
      <c r="G64" s="19" t="s">
        <v>142</v>
      </c>
    </row>
    <row r="65" spans="1:7" x14ac:dyDescent="0.35">
      <c r="A65" s="49"/>
      <c r="B65" s="19" t="s">
        <v>129</v>
      </c>
      <c r="C65" s="19"/>
      <c r="D65" s="19"/>
      <c r="E65" s="19"/>
      <c r="F65" s="19"/>
      <c r="G65" s="19"/>
    </row>
    <row r="66" spans="1:7" x14ac:dyDescent="0.35">
      <c r="A66" s="50"/>
      <c r="B66" s="19"/>
      <c r="C66" s="19"/>
      <c r="D66" s="19"/>
      <c r="E66" s="19"/>
      <c r="F66" s="19"/>
      <c r="G66" s="19"/>
    </row>
  </sheetData>
  <mergeCells count="27"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  <mergeCell ref="A64:A66"/>
    <mergeCell ref="A51:G51"/>
    <mergeCell ref="A52:A54"/>
    <mergeCell ref="A61:A63"/>
    <mergeCell ref="A58:A60"/>
    <mergeCell ref="B5:G5"/>
    <mergeCell ref="A7:A10"/>
    <mergeCell ref="A11:G11"/>
    <mergeCell ref="A18:G18"/>
    <mergeCell ref="A20:A22"/>
    <mergeCell ref="D7:E10"/>
    <mergeCell ref="A1:G1"/>
    <mergeCell ref="A2:G2"/>
    <mergeCell ref="B3:G3"/>
    <mergeCell ref="B4:C4"/>
    <mergeCell ref="E4:G4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>
        <f>score_sheet!B10</f>
        <v>3785734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2026-06-06T09:39:49Z</dcterms:modified>
</cp:coreProperties>
</file>