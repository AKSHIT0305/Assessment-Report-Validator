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nu\Desktop\Assessment and Design team\Analitics\new analytics work started on 19aug26\"/>
    </mc:Choice>
  </mc:AlternateContent>
  <xr:revisionPtr revIDLastSave="0" documentId="13_ncr:1_{AC280172-C16E-4EDD-A7CD-C8FCDF315A6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core_sheet" sheetId="1" r:id="rId1"/>
    <sheet name="Batch Analysis - Tabular" sheetId="2" r:id="rId2"/>
    <sheet name="Batch Analysis - Graph" sheetId="3" r:id="rId3"/>
  </sheets>
  <definedNames>
    <definedName name="_xlnm._FilterDatabase" localSheetId="0" hidden="1">score_sheet!$A$13:$R$33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" i="3" l="1"/>
  <c r="G17" i="2"/>
  <c r="F17" i="2"/>
  <c r="E17" i="2"/>
  <c r="D17" i="2"/>
  <c r="C17" i="2"/>
  <c r="G16" i="2"/>
  <c r="F16" i="2"/>
  <c r="E16" i="2"/>
  <c r="D16" i="2"/>
  <c r="C16" i="2"/>
  <c r="G15" i="2"/>
  <c r="F15" i="2"/>
  <c r="E15" i="2"/>
  <c r="D15" i="2"/>
  <c r="C15" i="2"/>
  <c r="G14" i="2"/>
  <c r="F14" i="2"/>
  <c r="E14" i="2"/>
  <c r="D14" i="2"/>
  <c r="C14" i="2"/>
  <c r="G13" i="2"/>
  <c r="F13" i="2"/>
  <c r="E13" i="2"/>
  <c r="D13" i="2"/>
  <c r="C13" i="2"/>
  <c r="G8" i="2"/>
  <c r="F8" i="2"/>
  <c r="B6" i="2"/>
  <c r="B5" i="2"/>
  <c r="B4" i="2"/>
  <c r="B3" i="2"/>
  <c r="P33" i="1"/>
  <c r="R33" i="1" s="1"/>
  <c r="Q33" i="1" s="1"/>
  <c r="O33" i="1"/>
  <c r="M33" i="1"/>
  <c r="K33" i="1"/>
  <c r="I33" i="1"/>
  <c r="G33" i="1"/>
  <c r="P32" i="1"/>
  <c r="R32" i="1" s="1"/>
  <c r="Q32" i="1" s="1"/>
  <c r="O32" i="1"/>
  <c r="M32" i="1"/>
  <c r="K32" i="1"/>
  <c r="I32" i="1"/>
  <c r="G32" i="1"/>
  <c r="P31" i="1"/>
  <c r="R31" i="1" s="1"/>
  <c r="Q31" i="1" s="1"/>
  <c r="O31" i="1"/>
  <c r="M31" i="1"/>
  <c r="K31" i="1"/>
  <c r="I31" i="1"/>
  <c r="G31" i="1"/>
  <c r="P21" i="1"/>
  <c r="R21" i="1" s="1"/>
  <c r="Q21" i="1" s="1"/>
  <c r="O21" i="1"/>
  <c r="M21" i="1"/>
  <c r="K21" i="1"/>
  <c r="I21" i="1"/>
  <c r="G21" i="1"/>
  <c r="P20" i="1"/>
  <c r="R20" i="1" s="1"/>
  <c r="Q20" i="1" s="1"/>
  <c r="O20" i="1"/>
  <c r="M20" i="1"/>
  <c r="K20" i="1"/>
  <c r="I20" i="1"/>
  <c r="G20" i="1"/>
  <c r="P28" i="1"/>
  <c r="R28" i="1" s="1"/>
  <c r="Q28" i="1" s="1"/>
  <c r="O28" i="1"/>
  <c r="M28" i="1"/>
  <c r="K28" i="1"/>
  <c r="I28" i="1"/>
  <c r="G28" i="1"/>
  <c r="P18" i="1"/>
  <c r="R18" i="1" s="1"/>
  <c r="Q18" i="1" s="1"/>
  <c r="O18" i="1"/>
  <c r="M18" i="1"/>
  <c r="K18" i="1"/>
  <c r="I18" i="1"/>
  <c r="G18" i="1"/>
  <c r="P30" i="1"/>
  <c r="R30" i="1" s="1"/>
  <c r="Q30" i="1" s="1"/>
  <c r="O30" i="1"/>
  <c r="M30" i="1"/>
  <c r="K30" i="1"/>
  <c r="I30" i="1"/>
  <c r="G30" i="1"/>
  <c r="P25" i="1"/>
  <c r="R25" i="1" s="1"/>
  <c r="Q25" i="1" s="1"/>
  <c r="O25" i="1"/>
  <c r="M25" i="1"/>
  <c r="K25" i="1"/>
  <c r="I25" i="1"/>
  <c r="G25" i="1"/>
  <c r="P29" i="1"/>
  <c r="R29" i="1" s="1"/>
  <c r="Q29" i="1" s="1"/>
  <c r="O29" i="1"/>
  <c r="M29" i="1"/>
  <c r="K29" i="1"/>
  <c r="I29" i="1"/>
  <c r="G29" i="1"/>
  <c r="P27" i="1"/>
  <c r="R27" i="1" s="1"/>
  <c r="Q27" i="1" s="1"/>
  <c r="O27" i="1"/>
  <c r="M27" i="1"/>
  <c r="K27" i="1"/>
  <c r="I27" i="1"/>
  <c r="G27" i="1"/>
  <c r="P26" i="1"/>
  <c r="R26" i="1" s="1"/>
  <c r="Q26" i="1" s="1"/>
  <c r="O26" i="1"/>
  <c r="M26" i="1"/>
  <c r="K26" i="1"/>
  <c r="I26" i="1"/>
  <c r="G26" i="1"/>
  <c r="P16" i="1"/>
  <c r="R16" i="1" s="1"/>
  <c r="Q16" i="1" s="1"/>
  <c r="O16" i="1"/>
  <c r="M16" i="1"/>
  <c r="K16" i="1"/>
  <c r="I16" i="1"/>
  <c r="G16" i="1"/>
  <c r="P24" i="1"/>
  <c r="R24" i="1" s="1"/>
  <c r="Q24" i="1" s="1"/>
  <c r="O24" i="1"/>
  <c r="M24" i="1"/>
  <c r="K24" i="1"/>
  <c r="I24" i="1"/>
  <c r="G24" i="1"/>
  <c r="P19" i="1"/>
  <c r="R19" i="1" s="1"/>
  <c r="Q19" i="1" s="1"/>
  <c r="O19" i="1"/>
  <c r="M19" i="1"/>
  <c r="K19" i="1"/>
  <c r="I19" i="1"/>
  <c r="G19" i="1"/>
  <c r="P15" i="1"/>
  <c r="R15" i="1" s="1"/>
  <c r="Q15" i="1" s="1"/>
  <c r="O15" i="1"/>
  <c r="M15" i="1"/>
  <c r="K15" i="1"/>
  <c r="I15" i="1"/>
  <c r="G15" i="1"/>
  <c r="P17" i="1"/>
  <c r="R17" i="1" s="1"/>
  <c r="Q17" i="1" s="1"/>
  <c r="O17" i="1"/>
  <c r="M17" i="1"/>
  <c r="K17" i="1"/>
  <c r="I17" i="1"/>
  <c r="G17" i="1"/>
  <c r="P23" i="1"/>
  <c r="R23" i="1" s="1"/>
  <c r="Q23" i="1" s="1"/>
  <c r="O23" i="1"/>
  <c r="M23" i="1"/>
  <c r="K23" i="1"/>
  <c r="I23" i="1"/>
  <c r="G23" i="1"/>
  <c r="P22" i="1"/>
  <c r="R22" i="1" s="1"/>
  <c r="Q22" i="1" s="1"/>
  <c r="O22" i="1"/>
  <c r="M22" i="1"/>
  <c r="K22" i="1"/>
  <c r="I22" i="1"/>
  <c r="G22" i="1"/>
  <c r="P14" i="1"/>
  <c r="R14" i="1" s="1"/>
  <c r="O14" i="1"/>
  <c r="M14" i="1"/>
  <c r="K14" i="1"/>
  <c r="I14" i="1"/>
  <c r="G14" i="1"/>
  <c r="G9" i="2" l="1"/>
  <c r="G10" i="2"/>
  <c r="F10" i="2"/>
  <c r="F9" i="2"/>
  <c r="Q14" i="1"/>
  <c r="C8" i="2"/>
  <c r="C10" i="2" l="1"/>
  <c r="C9" i="2"/>
  <c r="B14" i="2" l="1"/>
  <c r="B15" i="2"/>
  <c r="B16" i="2"/>
  <c r="B17" i="2"/>
  <c r="B13" i="2"/>
</calcChain>
</file>

<file path=xl/sharedStrings.xml><?xml version="1.0" encoding="utf-8"?>
<sst xmlns="http://schemas.openxmlformats.org/spreadsheetml/2006/main" count="199" uniqueCount="107">
  <si>
    <t>Assessment Agency Name</t>
  </si>
  <si>
    <t>Ginger Webs Pvt. Ltd.</t>
  </si>
  <si>
    <t>Training Provider Name</t>
  </si>
  <si>
    <t>Nitcon Limited</t>
  </si>
  <si>
    <t>Qualification Pack Name/Job Role</t>
  </si>
  <si>
    <t>Digital Mitra</t>
  </si>
  <si>
    <t>Qualification Code</t>
  </si>
  <si>
    <t>SSC/Q2212</t>
  </si>
  <si>
    <t>Assessor Name/AR ID</t>
  </si>
  <si>
    <t>AR16214 &amp; Akshay Kumar</t>
  </si>
  <si>
    <t>Scheme Name</t>
  </si>
  <si>
    <t>TPA</t>
  </si>
  <si>
    <t>State</t>
  </si>
  <si>
    <t>Uttar Pradesh</t>
  </si>
  <si>
    <t>City</t>
  </si>
  <si>
    <t>Lucknow</t>
  </si>
  <si>
    <t>Center ID</t>
  </si>
  <si>
    <t>NA</t>
  </si>
  <si>
    <t>Batch ID</t>
  </si>
  <si>
    <t>TPA0221220260179</t>
  </si>
  <si>
    <t>Trainee Name</t>
  </si>
  <si>
    <t>Candidate ID</t>
  </si>
  <si>
    <t>Gender</t>
  </si>
  <si>
    <t>Assessment Date</t>
  </si>
  <si>
    <t>SSC/N2204 - Score</t>
  </si>
  <si>
    <t>Pass/Fail</t>
  </si>
  <si>
    <t>SSC/N2205 -Score</t>
  </si>
  <si>
    <t>SSC/N2206 - Score</t>
  </si>
  <si>
    <t>SSC/N2207 - Score</t>
  </si>
  <si>
    <t>DGT/VSQ/N0101 -Score</t>
  </si>
  <si>
    <t>Total</t>
  </si>
  <si>
    <t>Result of QP (Pass/Fail)</t>
  </si>
  <si>
    <t>Overall %</t>
  </si>
  <si>
    <t>Kavya Kriti</t>
  </si>
  <si>
    <t>-</t>
  </si>
  <si>
    <t>Swati Gond</t>
  </si>
  <si>
    <t>F</t>
  </si>
  <si>
    <t>Sakshi Gond</t>
  </si>
  <si>
    <t>Raksha</t>
  </si>
  <si>
    <t>Sunita Sonkar</t>
  </si>
  <si>
    <t>Arti Verma</t>
  </si>
  <si>
    <t>Anamika Tharu</t>
  </si>
  <si>
    <t>Muskan Gautam</t>
  </si>
  <si>
    <t>Nandani Kumari</t>
  </si>
  <si>
    <t>Kanishka Kanojia</t>
  </si>
  <si>
    <t>Shilpi</t>
  </si>
  <si>
    <t>Rashmi Rajvanshi</t>
  </si>
  <si>
    <t>Rashmi Dheeman</t>
  </si>
  <si>
    <t>Vivek Rai</t>
  </si>
  <si>
    <t>M</t>
  </si>
  <si>
    <t>Vinay Singh</t>
  </si>
  <si>
    <t>Ashutosh Tiwari</t>
  </si>
  <si>
    <t>Surya Pratap Singh</t>
  </si>
  <si>
    <t>Abhishek Kumar Tharu</t>
  </si>
  <si>
    <t>Dharmendra Kumar</t>
  </si>
  <si>
    <t>Shiv Diwakar</t>
  </si>
  <si>
    <t xml:space="preserve">Descriptive Analysis for the Batch </t>
  </si>
  <si>
    <t>BATCH SUMMARY</t>
  </si>
  <si>
    <t>Batch Id</t>
  </si>
  <si>
    <t>Scheme of Assessment</t>
  </si>
  <si>
    <t xml:space="preserve">Pass Criteria </t>
  </si>
  <si>
    <t>QP / Job role</t>
  </si>
  <si>
    <t>QP Result</t>
  </si>
  <si>
    <t>Gender Wise Analysis</t>
  </si>
  <si>
    <t>Male</t>
  </si>
  <si>
    <t>Female</t>
  </si>
  <si>
    <t>Enrolled</t>
  </si>
  <si>
    <t>Appeared</t>
  </si>
  <si>
    <t>Passed</t>
  </si>
  <si>
    <t>NOS SUMMARY</t>
  </si>
  <si>
    <t>% Students Passed 
(On Appeared)</t>
  </si>
  <si>
    <t xml:space="preserve">Mean </t>
  </si>
  <si>
    <t xml:space="preserve">Minimum Obtained </t>
  </si>
  <si>
    <t xml:space="preserve">Maximum Obtained </t>
  </si>
  <si>
    <t xml:space="preserve">Median  </t>
  </si>
  <si>
    <t xml:space="preserve">SD </t>
  </si>
  <si>
    <t>SSC/N2204</t>
  </si>
  <si>
    <t>SSC/N2205</t>
  </si>
  <si>
    <t>SSC/N2206</t>
  </si>
  <si>
    <t>SSC/N2207</t>
  </si>
  <si>
    <t>DGT/VSQ/N0101</t>
  </si>
  <si>
    <t>WEAK PCs (AVERAGE SCORE LESS THAN 50%)</t>
  </si>
  <si>
    <t>PC18</t>
  </si>
  <si>
    <t>PC7</t>
  </si>
  <si>
    <t>PC14</t>
  </si>
  <si>
    <t>PC19</t>
  </si>
  <si>
    <t>PC24</t>
  </si>
  <si>
    <t>PC27</t>
  </si>
  <si>
    <t>PC5</t>
  </si>
  <si>
    <t>PC23</t>
  </si>
  <si>
    <t>PC4</t>
  </si>
  <si>
    <t>PC11</t>
  </si>
  <si>
    <t>PC15</t>
  </si>
  <si>
    <t>PC1</t>
  </si>
  <si>
    <t>PC6</t>
  </si>
  <si>
    <t>PC10</t>
  </si>
  <si>
    <t>PC3</t>
  </si>
  <si>
    <t>PC16</t>
  </si>
  <si>
    <t>PC8</t>
  </si>
  <si>
    <t>PC12</t>
  </si>
  <si>
    <t>PC2</t>
  </si>
  <si>
    <t>Moderately weak PCs (AVERAGE SCORE BETWEEN 50-70%)</t>
  </si>
  <si>
    <t>PC21</t>
  </si>
  <si>
    <t>PC22</t>
  </si>
  <si>
    <t>STRONG PCs (AVERAGE SCORE MORE THAN 70%)</t>
  </si>
  <si>
    <t>PC20</t>
  </si>
  <si>
    <t>PC9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</si>
</sst>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:ss"/>
    <numFmt numFmtId="165" formatCode="dd/mm/yyyy"/>
    <numFmt numFmtId="166" formatCode="[$-409]dd\-mmm\-yy;@"/>
  </numFmts>
  <fonts count="6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Border="0" applyProtection="0"/>
  </cellStyleXfs>
  <cellXfs count="4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6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4" fillId="0" borderId="1" xfId="0" applyFont="1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2" fontId="1" fillId="0" borderId="1" xfId="1" applyNumberFormat="1" applyBorder="1" applyAlignment="1" applyProtection="1">
      <alignment horizont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QP Result Snapshot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'Batch Analysis - Tabular'!$C$8</c:f>
              <c:numCache>
                <c:formatCode>0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F-49AC-BD48-6E367A07A316}"/>
            </c:ext>
          </c:extLst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'Batch Analysis - Tabular'!$C$9</c:f>
              <c:numCache>
                <c:formatCode>0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2F-49AC-BD48-6E367A07A316}"/>
            </c:ext>
          </c:extLst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'Batch Analysis - Tabular'!$C$10</c:f>
              <c:numCache>
                <c:formatCode>0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2F-49AC-BD48-6E367A07A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62920"/>
        <c:axId val="85291047"/>
      </c:barChart>
      <c:catAx>
        <c:axId val="52262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5291047"/>
        <c:crosses val="autoZero"/>
        <c:auto val="1"/>
        <c:lblAlgn val="ctr"/>
        <c:lblOffset val="100"/>
        <c:noMultiLvlLbl val="0"/>
      </c:catAx>
      <c:valAx>
        <c:axId val="85291047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22629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NOS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39049617017102E-2"/>
          <c:y val="0.12844266399599399"/>
          <c:w val="0.90525442747719198"/>
          <c:h val="0.551952929394091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Tabular'!$B$13:$B$17</c:f>
              <c:numCache>
                <c:formatCode>0</c:formatCode>
                <c:ptCount val="5"/>
                <c:pt idx="0">
                  <c:v>61.53846153846154</c:v>
                </c:pt>
                <c:pt idx="1">
                  <c:v>61.53846153846154</c:v>
                </c:pt>
                <c:pt idx="2">
                  <c:v>61.53846153846154</c:v>
                </c:pt>
                <c:pt idx="3">
                  <c:v>61.53846153846154</c:v>
                </c:pt>
                <c:pt idx="4">
                  <c:v>61.53846153846154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5-45CE-B94B-6BA8226EFF59}"/>
            </c:ext>
          </c:extLst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Tabular'!$C$13:$C$17</c:f>
              <c:numCache>
                <c:formatCode>0.00</c:formatCode>
                <c:ptCount val="5"/>
                <c:pt idx="0">
                  <c:v>33.620000000000005</c:v>
                </c:pt>
                <c:pt idx="1">
                  <c:v>32.9</c:v>
                </c:pt>
                <c:pt idx="2">
                  <c:v>35.385000000000005</c:v>
                </c:pt>
                <c:pt idx="3">
                  <c:v>34.285000000000004</c:v>
                </c:pt>
                <c:pt idx="4">
                  <c:v>15.65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45-45CE-B94B-6BA8226EFF59}"/>
            </c:ext>
          </c:extLst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Tabular'!$D$13:$D$17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45-45CE-B94B-6BA8226EFF59}"/>
            </c:ext>
          </c:extLst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CF45-45CE-B94B-6BA8226EFF5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4-CF45-45CE-B94B-6BA8226EFF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Tabular'!$E$13:$E$17</c:f>
              <c:numCache>
                <c:formatCode>0.00</c:formatCode>
                <c:ptCount val="5"/>
                <c:pt idx="0">
                  <c:v>77.3</c:v>
                </c:pt>
                <c:pt idx="1">
                  <c:v>72.3</c:v>
                </c:pt>
                <c:pt idx="2">
                  <c:v>89.9</c:v>
                </c:pt>
                <c:pt idx="3">
                  <c:v>74.2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45-45CE-B94B-6BA8226EFF59}"/>
            </c:ext>
          </c:extLst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Tabular'!$F$13:$F$17</c:f>
              <c:numCache>
                <c:formatCode>0.00</c:formatCode>
                <c:ptCount val="5"/>
                <c:pt idx="0">
                  <c:v>40.799999999999997</c:v>
                </c:pt>
                <c:pt idx="1">
                  <c:v>35.650000000000006</c:v>
                </c:pt>
                <c:pt idx="2">
                  <c:v>35.099999999999994</c:v>
                </c:pt>
                <c:pt idx="3">
                  <c:v>37.849999999999994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45-45CE-B94B-6BA8226EFF59}"/>
            </c:ext>
          </c:extLst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Tabular'!$G$13:$G$17</c:f>
              <c:numCache>
                <c:formatCode>0.00</c:formatCode>
                <c:ptCount val="5"/>
                <c:pt idx="0">
                  <c:v>26.997085027832167</c:v>
                </c:pt>
                <c:pt idx="1">
                  <c:v>27.768237250498995</c:v>
                </c:pt>
                <c:pt idx="2">
                  <c:v>30.94285499109608</c:v>
                </c:pt>
                <c:pt idx="3">
                  <c:v>28.946127115730008</c:v>
                </c:pt>
                <c:pt idx="4">
                  <c:v>15.799604425427871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F45-45CE-B94B-6BA8226EF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086475"/>
        <c:axId val="90129052"/>
      </c:barChart>
      <c:catAx>
        <c:axId val="450864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0129052"/>
        <c:crosses val="autoZero"/>
        <c:auto val="1"/>
        <c:lblAlgn val="ctr"/>
        <c:lblOffset val="100"/>
        <c:noMultiLvlLbl val="0"/>
      </c:catAx>
      <c:valAx>
        <c:axId val="90129052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864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/>
              </a:rPr>
              <a:t>Gender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C-4FDB-83EC-21C3E3DC9ED4}"/>
            </c:ext>
          </c:extLst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8C-4FDB-83EC-21C3E3DC9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355719"/>
        <c:axId val="60213608"/>
      </c:barChart>
      <c:catAx>
        <c:axId val="593557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0213608"/>
        <c:crosses val="autoZero"/>
        <c:auto val="1"/>
        <c:lblAlgn val="ctr"/>
        <c:lblOffset val="100"/>
        <c:noMultiLvlLbl val="0"/>
      </c:catAx>
      <c:valAx>
        <c:axId val="602136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93557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192240</xdr:colOff>
      <xdr:row>2</xdr:row>
      <xdr:rowOff>85680</xdr:rowOff>
    </xdr:from>
    <xdr:to>
      <xdr:col>7</xdr:col>
      <xdr:colOff>324000</xdr:colOff>
      <xdr:row>17</xdr:row>
      <xdr:rowOff>93600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483840</xdr:colOff>
      <xdr:row>2</xdr:row>
      <xdr:rowOff>85680</xdr:rowOff>
    </xdr:from>
    <xdr:to>
      <xdr:col>20</xdr:col>
      <xdr:colOff>36720</xdr:colOff>
      <xdr:row>17</xdr:row>
      <xdr:rowOff>103320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293400</xdr:colOff>
      <xdr:row>2</xdr:row>
      <xdr:rowOff>47520</xdr:rowOff>
    </xdr:from>
    <xdr:to>
      <xdr:col>27</xdr:col>
      <xdr:colOff>596880</xdr:colOff>
      <xdr:row>17</xdr:row>
      <xdr:rowOff>46080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J33"/>
  <sheetViews>
    <sheetView showGridLines="0" tabSelected="1" zoomScale="85" zoomScaleNormal="85" workbookViewId="0">
      <selection activeCell="H31" sqref="H31"/>
    </sheetView>
  </sheetViews>
  <sheetFormatPr defaultColWidth="9.140625" defaultRowHeight="15" x14ac:dyDescent="0.25"/>
  <cols>
    <col min="1" max="1" width="33.140625" style="9" customWidth="1"/>
    <col min="2" max="2" width="31.5703125" style="9" customWidth="1"/>
    <col min="3" max="3" width="18" style="9" customWidth="1"/>
    <col min="4" max="4" width="10.85546875" style="9" customWidth="1"/>
    <col min="5" max="5" width="16.28515625" style="9" customWidth="1"/>
    <col min="6" max="6" width="13.85546875" style="9" customWidth="1"/>
    <col min="7" max="7" width="12.140625" style="9" customWidth="1"/>
    <col min="8" max="8" width="11.7109375" style="9" customWidth="1"/>
    <col min="9" max="9" width="12.140625" style="9" customWidth="1"/>
    <col min="10" max="10" width="12.7109375" style="9" customWidth="1"/>
    <col min="11" max="11" width="12.140625" style="9" customWidth="1"/>
    <col min="12" max="12" width="12.42578125" style="9" customWidth="1"/>
    <col min="13" max="13" width="12.140625" style="9" customWidth="1"/>
    <col min="14" max="14" width="11.5703125" style="9" customWidth="1"/>
    <col min="15" max="15" width="12.140625" style="9" customWidth="1"/>
    <col min="16" max="16" width="13.28515625" style="9" customWidth="1"/>
    <col min="17" max="17" width="15.85546875" style="9" customWidth="1"/>
    <col min="18" max="18" width="12.42578125" style="9" customWidth="1"/>
    <col min="19" max="1024" width="9.140625" style="9"/>
  </cols>
  <sheetData>
    <row r="1" spans="1:18" x14ac:dyDescent="0.25">
      <c r="A1" s="10" t="s">
        <v>0</v>
      </c>
      <c r="B1" s="10" t="s">
        <v>1</v>
      </c>
    </row>
    <row r="2" spans="1:18" x14ac:dyDescent="0.25">
      <c r="A2" s="10" t="s">
        <v>2</v>
      </c>
      <c r="B2" s="10" t="s">
        <v>3</v>
      </c>
    </row>
    <row r="3" spans="1:18" x14ac:dyDescent="0.25">
      <c r="A3" s="10" t="s">
        <v>4</v>
      </c>
      <c r="B3" s="11" t="s">
        <v>5</v>
      </c>
    </row>
    <row r="4" spans="1:18" x14ac:dyDescent="0.25">
      <c r="A4" s="10" t="s">
        <v>6</v>
      </c>
      <c r="B4" s="10" t="s">
        <v>7</v>
      </c>
    </row>
    <row r="5" spans="1:18" x14ac:dyDescent="0.25">
      <c r="A5" s="10" t="s">
        <v>8</v>
      </c>
      <c r="B5" s="10" t="s">
        <v>9</v>
      </c>
    </row>
    <row r="6" spans="1:18" x14ac:dyDescent="0.25">
      <c r="A6" s="10" t="s">
        <v>10</v>
      </c>
      <c r="B6" s="10" t="s">
        <v>11</v>
      </c>
    </row>
    <row r="7" spans="1:18" x14ac:dyDescent="0.25">
      <c r="A7" s="10" t="s">
        <v>12</v>
      </c>
      <c r="B7" s="10" t="s">
        <v>13</v>
      </c>
    </row>
    <row r="8" spans="1:18" x14ac:dyDescent="0.25">
      <c r="A8" s="10" t="s">
        <v>14</v>
      </c>
      <c r="B8" s="10" t="s">
        <v>15</v>
      </c>
    </row>
    <row r="9" spans="1:18" x14ac:dyDescent="0.25">
      <c r="A9" s="10" t="s">
        <v>16</v>
      </c>
      <c r="B9" s="10" t="s">
        <v>17</v>
      </c>
    </row>
    <row r="10" spans="1:18" x14ac:dyDescent="0.25">
      <c r="A10" s="10" t="s">
        <v>18</v>
      </c>
      <c r="B10" s="10" t="s">
        <v>19</v>
      </c>
    </row>
    <row r="11" spans="1:18" x14ac:dyDescent="0.25">
      <c r="A11" s="12"/>
      <c r="B11" s="12"/>
    </row>
    <row r="13" spans="1:18" s="16" customFormat="1" ht="30" x14ac:dyDescent="0.25">
      <c r="A13" s="13" t="s">
        <v>18</v>
      </c>
      <c r="B13" s="14" t="s">
        <v>20</v>
      </c>
      <c r="C13" s="14" t="s">
        <v>21</v>
      </c>
      <c r="D13" s="14" t="s">
        <v>22</v>
      </c>
      <c r="E13" s="14" t="s">
        <v>23</v>
      </c>
      <c r="F13" s="15" t="s">
        <v>24</v>
      </c>
      <c r="G13" s="15" t="s">
        <v>25</v>
      </c>
      <c r="H13" s="15" t="s">
        <v>26</v>
      </c>
      <c r="I13" s="15" t="s">
        <v>25</v>
      </c>
      <c r="J13" s="15" t="s">
        <v>27</v>
      </c>
      <c r="K13" s="15" t="s">
        <v>25</v>
      </c>
      <c r="L13" s="15" t="s">
        <v>28</v>
      </c>
      <c r="M13" s="15" t="s">
        <v>25</v>
      </c>
      <c r="N13" s="15" t="s">
        <v>29</v>
      </c>
      <c r="O13" s="15" t="s">
        <v>25</v>
      </c>
      <c r="P13" s="15" t="s">
        <v>30</v>
      </c>
      <c r="Q13" s="15" t="s">
        <v>31</v>
      </c>
      <c r="R13" s="15" t="s">
        <v>32</v>
      </c>
    </row>
    <row r="14" spans="1:18" hidden="1" x14ac:dyDescent="0.25">
      <c r="A14" s="17" t="s">
        <v>19</v>
      </c>
      <c r="B14" s="10" t="s">
        <v>33</v>
      </c>
      <c r="C14" s="10">
        <v>8553</v>
      </c>
      <c r="D14" s="17" t="s">
        <v>34</v>
      </c>
      <c r="E14" s="18">
        <v>46190</v>
      </c>
      <c r="F14" s="10">
        <v>0</v>
      </c>
      <c r="G14" s="10" t="str">
        <f t="shared" ref="G14:G33" si="0">IF(F14&gt;=50,"PASS",IF(F14&gt;0,"FAIL", "ABSENT"))</f>
        <v>ABSENT</v>
      </c>
      <c r="H14" s="10">
        <v>0</v>
      </c>
      <c r="I14" s="10" t="str">
        <f t="shared" ref="I14:I33" si="1">IF(H14&gt;=50,"PASS",IF(H14&gt;0,"FAIL", "ABSENT"))</f>
        <v>ABSENT</v>
      </c>
      <c r="J14" s="10">
        <v>0</v>
      </c>
      <c r="K14" s="10" t="str">
        <f t="shared" ref="K14:K33" si="2">IF(J14&gt;=50,"PASS",IF(J14&gt;0,"FAIL", "ABSENT"))</f>
        <v>ABSENT</v>
      </c>
      <c r="L14" s="10">
        <v>0</v>
      </c>
      <c r="M14" s="10" t="str">
        <f t="shared" ref="M14:M33" si="3">IF(L14&gt;=50,"PASS",IF(L14&gt;0,"FAIL", "ABSENT"))</f>
        <v>ABSENT</v>
      </c>
      <c r="N14" s="10">
        <v>0</v>
      </c>
      <c r="O14" s="10" t="str">
        <f t="shared" ref="O14:O33" si="4">IF(N14&gt;=25,"PASS",IF(N14&gt;0,"FAIL", "ABSENT"))</f>
        <v>ABSENT</v>
      </c>
      <c r="P14" s="17">
        <f t="shared" ref="P14:P33" si="5">F14+H14+J14+L14+N14</f>
        <v>0</v>
      </c>
      <c r="Q14" s="10" t="str">
        <f t="shared" ref="Q14:Q33" si="6">IF(R14&gt;=50,"PASS",IF(R14&gt;0,"FAIL","ABSENT"))</f>
        <v>ABSENT</v>
      </c>
      <c r="R14" s="19">
        <f t="shared" ref="R14:R33" si="7">P14/450*100</f>
        <v>0</v>
      </c>
    </row>
    <row r="15" spans="1:18" x14ac:dyDescent="0.25">
      <c r="A15" s="17" t="s">
        <v>19</v>
      </c>
      <c r="B15" s="10" t="s">
        <v>39</v>
      </c>
      <c r="C15" s="10">
        <v>9331</v>
      </c>
      <c r="D15" s="17" t="s">
        <v>36</v>
      </c>
      <c r="E15" s="18">
        <v>46190</v>
      </c>
      <c r="F15" s="10">
        <v>50</v>
      </c>
      <c r="G15" s="10" t="str">
        <f>IF(F15&gt;=50,"PASS",IF(F15&gt;0,"FAIL", "ABSENT"))</f>
        <v>PASS</v>
      </c>
      <c r="H15" s="10">
        <v>39.1</v>
      </c>
      <c r="I15" s="10" t="str">
        <f>IF(H15&gt;=50,"PASS",IF(H15&gt;0,"FAIL", "ABSENT"))</f>
        <v>FAIL</v>
      </c>
      <c r="J15" s="10">
        <v>20.7</v>
      </c>
      <c r="K15" s="10" t="str">
        <f>IF(J15&gt;=50,"PASS",IF(J15&gt;0,"FAIL", "ABSENT"))</f>
        <v>FAIL</v>
      </c>
      <c r="L15" s="10">
        <v>22</v>
      </c>
      <c r="M15" s="10" t="str">
        <f>IF(L15&gt;=50,"PASS",IF(L15&gt;0,"FAIL", "ABSENT"))</f>
        <v>FAIL</v>
      </c>
      <c r="N15" s="10">
        <v>19</v>
      </c>
      <c r="O15" s="10" t="str">
        <f>IF(N15&gt;=25,"PASS",IF(N15&gt;0,"FAIL", "ABSENT"))</f>
        <v>FAIL</v>
      </c>
      <c r="P15" s="17">
        <f>F15+H15+J15+L15+N15</f>
        <v>150.80000000000001</v>
      </c>
      <c r="Q15" s="10" t="str">
        <f>IF(R15&gt;=50,"PASS",IF(R15&gt;0,"FAIL","ABSENT"))</f>
        <v>FAIL</v>
      </c>
      <c r="R15" s="19">
        <f>P15/450*100</f>
        <v>33.511111111111113</v>
      </c>
    </row>
    <row r="16" spans="1:18" x14ac:dyDescent="0.25">
      <c r="A16" s="17" t="s">
        <v>19</v>
      </c>
      <c r="B16" s="10" t="s">
        <v>42</v>
      </c>
      <c r="C16" s="10">
        <v>9340</v>
      </c>
      <c r="D16" s="17" t="s">
        <v>36</v>
      </c>
      <c r="E16" s="18">
        <v>46190</v>
      </c>
      <c r="F16" s="10">
        <v>59</v>
      </c>
      <c r="G16" s="10" t="str">
        <f>IF(F16&gt;=50,"PASS",IF(F16&gt;0,"FAIL", "ABSENT"))</f>
        <v>PASS</v>
      </c>
      <c r="H16" s="10">
        <v>22.1</v>
      </c>
      <c r="I16" s="10" t="str">
        <f>IF(H16&gt;=50,"PASS",IF(H16&gt;0,"FAIL", "ABSENT"))</f>
        <v>FAIL</v>
      </c>
      <c r="J16" s="10">
        <v>36.799999999999997</v>
      </c>
      <c r="K16" s="10" t="str">
        <f>IF(J16&gt;=50,"PASS",IF(J16&gt;0,"FAIL", "ABSENT"))</f>
        <v>FAIL</v>
      </c>
      <c r="L16" s="10">
        <v>21.6</v>
      </c>
      <c r="M16" s="10" t="str">
        <f>IF(L16&gt;=50,"PASS",IF(L16&gt;0,"FAIL", "ABSENT"))</f>
        <v>FAIL</v>
      </c>
      <c r="N16" s="10">
        <v>13</v>
      </c>
      <c r="O16" s="10" t="str">
        <f>IF(N16&gt;=25,"PASS",IF(N16&gt;0,"FAIL", "ABSENT"))</f>
        <v>FAIL</v>
      </c>
      <c r="P16" s="17">
        <f>F16+H16+J16+L16+N16</f>
        <v>152.5</v>
      </c>
      <c r="Q16" s="10" t="str">
        <f>IF(R16&gt;=50,"PASS",IF(R16&gt;0,"FAIL","ABSENT"))</f>
        <v>FAIL</v>
      </c>
      <c r="R16" s="19">
        <f>P16/450*100</f>
        <v>33.888888888888893</v>
      </c>
    </row>
    <row r="17" spans="1:18" hidden="1" x14ac:dyDescent="0.25">
      <c r="A17" s="17" t="s">
        <v>19</v>
      </c>
      <c r="B17" s="10" t="s">
        <v>38</v>
      </c>
      <c r="C17" s="10">
        <v>8569</v>
      </c>
      <c r="D17" s="17" t="s">
        <v>34</v>
      </c>
      <c r="E17" s="18">
        <v>46190</v>
      </c>
      <c r="F17" s="10">
        <v>0</v>
      </c>
      <c r="G17" s="10" t="str">
        <f>IF(F17&gt;=50,"PASS",IF(F17&gt;0,"FAIL", "ABSENT"))</f>
        <v>ABSENT</v>
      </c>
      <c r="H17" s="10">
        <v>0</v>
      </c>
      <c r="I17" s="10" t="str">
        <f>IF(H17&gt;=50,"PASS",IF(H17&gt;0,"FAIL", "ABSENT"))</f>
        <v>ABSENT</v>
      </c>
      <c r="J17" s="10">
        <v>0</v>
      </c>
      <c r="K17" s="10" t="str">
        <f>IF(J17&gt;=50,"PASS",IF(J17&gt;0,"FAIL", "ABSENT"))</f>
        <v>ABSENT</v>
      </c>
      <c r="L17" s="10">
        <v>0</v>
      </c>
      <c r="M17" s="10" t="str">
        <f>IF(L17&gt;=50,"PASS",IF(L17&gt;0,"FAIL", "ABSENT"))</f>
        <v>ABSENT</v>
      </c>
      <c r="N17" s="10">
        <v>0</v>
      </c>
      <c r="O17" s="10" t="str">
        <f>IF(N17&gt;=25,"PASS",IF(N17&gt;0,"FAIL", "ABSENT"))</f>
        <v>ABSENT</v>
      </c>
      <c r="P17" s="17">
        <f>F17+H17+J17+L17+N17</f>
        <v>0</v>
      </c>
      <c r="Q17" s="10" t="str">
        <f>IF(R17&gt;=50,"PASS",IF(R17&gt;0,"FAIL","ABSENT"))</f>
        <v>ABSENT</v>
      </c>
      <c r="R17" s="19">
        <f>P17/450*100</f>
        <v>0</v>
      </c>
    </row>
    <row r="18" spans="1:18" x14ac:dyDescent="0.25">
      <c r="A18" s="17" t="s">
        <v>19</v>
      </c>
      <c r="B18" s="10" t="s">
        <v>48</v>
      </c>
      <c r="C18" s="10">
        <v>9332</v>
      </c>
      <c r="D18" s="17" t="s">
        <v>49</v>
      </c>
      <c r="E18" s="18">
        <v>46190</v>
      </c>
      <c r="F18" s="10">
        <v>27.5</v>
      </c>
      <c r="G18" s="10" t="str">
        <f>IF(F18&gt;=50,"PASS",IF(F18&gt;0,"FAIL", "ABSENT"))</f>
        <v>FAIL</v>
      </c>
      <c r="H18" s="10">
        <v>33.6</v>
      </c>
      <c r="I18" s="10" t="str">
        <f>IF(H18&gt;=50,"PASS",IF(H18&gt;0,"FAIL", "ABSENT"))</f>
        <v>FAIL</v>
      </c>
      <c r="J18" s="10">
        <v>21.2</v>
      </c>
      <c r="K18" s="10" t="str">
        <f>IF(J18&gt;=50,"PASS",IF(J18&gt;0,"FAIL", "ABSENT"))</f>
        <v>FAIL</v>
      </c>
      <c r="L18" s="10">
        <v>43.3</v>
      </c>
      <c r="M18" s="10" t="str">
        <f>IF(L18&gt;=50,"PASS",IF(L18&gt;0,"FAIL", "ABSENT"))</f>
        <v>FAIL</v>
      </c>
      <c r="N18" s="10">
        <v>15</v>
      </c>
      <c r="O18" s="10" t="str">
        <f>IF(N18&gt;=25,"PASS",IF(N18&gt;0,"FAIL", "ABSENT"))</f>
        <v>FAIL</v>
      </c>
      <c r="P18" s="17">
        <f>F18+H18+J18+L18+N18</f>
        <v>140.6</v>
      </c>
      <c r="Q18" s="10" t="str">
        <f>IF(R18&gt;=50,"PASS",IF(R18&gt;0,"FAIL","ABSENT"))</f>
        <v>FAIL</v>
      </c>
      <c r="R18" s="19">
        <f>P18/450*100</f>
        <v>31.24444444444444</v>
      </c>
    </row>
    <row r="19" spans="1:18" hidden="1" x14ac:dyDescent="0.25">
      <c r="A19" s="17" t="s">
        <v>19</v>
      </c>
      <c r="B19" s="10" t="s">
        <v>40</v>
      </c>
      <c r="C19" s="10">
        <v>9333</v>
      </c>
      <c r="D19" s="17" t="s">
        <v>34</v>
      </c>
      <c r="E19" s="18">
        <v>46190</v>
      </c>
      <c r="F19" s="10">
        <v>0</v>
      </c>
      <c r="G19" s="10" t="str">
        <f>IF(F19&gt;=50,"PASS",IF(F19&gt;0,"FAIL", "ABSENT"))</f>
        <v>ABSENT</v>
      </c>
      <c r="H19" s="10">
        <v>0</v>
      </c>
      <c r="I19" s="10" t="str">
        <f>IF(H19&gt;=50,"PASS",IF(H19&gt;0,"FAIL", "ABSENT"))</f>
        <v>ABSENT</v>
      </c>
      <c r="J19" s="10">
        <v>0</v>
      </c>
      <c r="K19" s="10" t="str">
        <f>IF(J19&gt;=50,"PASS",IF(J19&gt;0,"FAIL", "ABSENT"))</f>
        <v>ABSENT</v>
      </c>
      <c r="L19" s="10">
        <v>0</v>
      </c>
      <c r="M19" s="10" t="str">
        <f>IF(L19&gt;=50,"PASS",IF(L19&gt;0,"FAIL", "ABSENT"))</f>
        <v>ABSENT</v>
      </c>
      <c r="N19" s="10">
        <v>0</v>
      </c>
      <c r="O19" s="10" t="str">
        <f>IF(N19&gt;=25,"PASS",IF(N19&gt;0,"FAIL", "ABSENT"))</f>
        <v>ABSENT</v>
      </c>
      <c r="P19" s="17">
        <f>F19+H19+J19+L19+N19</f>
        <v>0</v>
      </c>
      <c r="Q19" s="10" t="str">
        <f>IF(R19&gt;=50,"PASS",IF(R19&gt;0,"FAIL","ABSENT"))</f>
        <v>ABSENT</v>
      </c>
      <c r="R19" s="19">
        <f>P19/450*100</f>
        <v>0</v>
      </c>
    </row>
    <row r="20" spans="1:18" x14ac:dyDescent="0.25">
      <c r="A20" s="17" t="s">
        <v>19</v>
      </c>
      <c r="B20" s="10" t="s">
        <v>51</v>
      </c>
      <c r="C20" s="10">
        <v>9335</v>
      </c>
      <c r="D20" s="17" t="s">
        <v>49</v>
      </c>
      <c r="E20" s="18">
        <v>46190</v>
      </c>
      <c r="F20" s="10">
        <v>43.6</v>
      </c>
      <c r="G20" s="10" t="str">
        <f>IF(F20&gt;=50,"PASS",IF(F20&gt;0,"FAIL", "ABSENT"))</f>
        <v>FAIL</v>
      </c>
      <c r="H20" s="10">
        <v>22.7</v>
      </c>
      <c r="I20" s="10" t="str">
        <f>IF(H20&gt;=50,"PASS",IF(H20&gt;0,"FAIL", "ABSENT"))</f>
        <v>FAIL</v>
      </c>
      <c r="J20" s="10">
        <v>39.4</v>
      </c>
      <c r="K20" s="10" t="str">
        <f>IF(J20&gt;=50,"PASS",IF(J20&gt;0,"FAIL", "ABSENT"))</f>
        <v>FAIL</v>
      </c>
      <c r="L20" s="10">
        <v>50.8</v>
      </c>
      <c r="M20" s="10" t="str">
        <f>IF(L20&gt;=50,"PASS",IF(L20&gt;0,"FAIL", "ABSENT"))</f>
        <v>PASS</v>
      </c>
      <c r="N20" s="10">
        <v>0</v>
      </c>
      <c r="O20" s="10" t="str">
        <f>IF(N20&gt;=25,"PASS",IF(N20&gt;0,"FAIL", "ABSENT"))</f>
        <v>ABSENT</v>
      </c>
      <c r="P20" s="17">
        <f>F20+H20+J20+L20+N20</f>
        <v>156.5</v>
      </c>
      <c r="Q20" s="10" t="str">
        <f>IF(R20&gt;=50,"PASS",IF(R20&gt;0,"FAIL","ABSENT"))</f>
        <v>FAIL</v>
      </c>
      <c r="R20" s="19">
        <f>P20/450*100</f>
        <v>34.777777777777779</v>
      </c>
    </row>
    <row r="21" spans="1:18" x14ac:dyDescent="0.25">
      <c r="A21" s="17" t="s">
        <v>19</v>
      </c>
      <c r="B21" s="10" t="s">
        <v>52</v>
      </c>
      <c r="C21" s="10">
        <v>9336</v>
      </c>
      <c r="D21" s="17" t="s">
        <v>49</v>
      </c>
      <c r="E21" s="18">
        <v>46190</v>
      </c>
      <c r="F21" s="10">
        <v>30.1</v>
      </c>
      <c r="G21" s="10" t="str">
        <f>IF(F21&gt;=50,"PASS",IF(F21&gt;0,"FAIL", "ABSENT"))</f>
        <v>FAIL</v>
      </c>
      <c r="H21" s="10">
        <v>37.700000000000003</v>
      </c>
      <c r="I21" s="10" t="str">
        <f>IF(H21&gt;=50,"PASS",IF(H21&gt;0,"FAIL", "ABSENT"))</f>
        <v>FAIL</v>
      </c>
      <c r="J21" s="10">
        <v>33.4</v>
      </c>
      <c r="K21" s="10" t="str">
        <f>IF(J21&gt;=50,"PASS",IF(J21&gt;0,"FAIL", "ABSENT"))</f>
        <v>FAIL</v>
      </c>
      <c r="L21" s="10">
        <v>32.4</v>
      </c>
      <c r="M21" s="10" t="str">
        <f>IF(L21&gt;=50,"PASS",IF(L21&gt;0,"FAIL", "ABSENT"))</f>
        <v>FAIL</v>
      </c>
      <c r="N21" s="10">
        <v>9</v>
      </c>
      <c r="O21" s="10" t="str">
        <f>IF(N21&gt;=25,"PASS",IF(N21&gt;0,"FAIL", "ABSENT"))</f>
        <v>FAIL</v>
      </c>
      <c r="P21" s="17">
        <f>F21+H21+J21+L21+N21</f>
        <v>142.60000000000002</v>
      </c>
      <c r="Q21" s="10" t="str">
        <f>IF(R21&gt;=50,"PASS",IF(R21&gt;0,"FAIL","ABSENT"))</f>
        <v>FAIL</v>
      </c>
      <c r="R21" s="19">
        <f>P21/450*100</f>
        <v>31.688888888888894</v>
      </c>
    </row>
    <row r="22" spans="1:18" x14ac:dyDescent="0.25">
      <c r="A22" s="17" t="s">
        <v>19</v>
      </c>
      <c r="B22" s="10" t="s">
        <v>35</v>
      </c>
      <c r="C22" s="10">
        <v>8554</v>
      </c>
      <c r="D22" s="17" t="s">
        <v>36</v>
      </c>
      <c r="E22" s="18">
        <v>46190</v>
      </c>
      <c r="F22" s="10">
        <v>62.6</v>
      </c>
      <c r="G22" s="10" t="str">
        <f>IF(F22&gt;=50,"PASS",IF(F22&gt;0,"FAIL", "ABSENT"))</f>
        <v>PASS</v>
      </c>
      <c r="H22" s="10">
        <v>64.5</v>
      </c>
      <c r="I22" s="10" t="str">
        <f>IF(H22&gt;=50,"PASS",IF(H22&gt;0,"FAIL", "ABSENT"))</f>
        <v>PASS</v>
      </c>
      <c r="J22" s="10">
        <v>75.3</v>
      </c>
      <c r="K22" s="10" t="str">
        <f>IF(J22&gt;=50,"PASS",IF(J22&gt;0,"FAIL", "ABSENT"))</f>
        <v>PASS</v>
      </c>
      <c r="L22" s="10">
        <v>53</v>
      </c>
      <c r="M22" s="10" t="str">
        <f>IF(L22&gt;=50,"PASS",IF(L22&gt;0,"FAIL", "ABSENT"))</f>
        <v>PASS</v>
      </c>
      <c r="N22" s="10">
        <v>39</v>
      </c>
      <c r="O22" s="10" t="str">
        <f>IF(N22&gt;=25,"PASS",IF(N22&gt;0,"FAIL", "ABSENT"))</f>
        <v>PASS</v>
      </c>
      <c r="P22" s="17">
        <f>F22+H22+J22+L22+N22</f>
        <v>294.39999999999998</v>
      </c>
      <c r="Q22" s="10" t="str">
        <f>IF(R22&gt;=50,"PASS",IF(R22&gt;0,"FAIL","ABSENT"))</f>
        <v>PASS</v>
      </c>
      <c r="R22" s="19">
        <f>P22/450*100</f>
        <v>65.422222222222217</v>
      </c>
    </row>
    <row r="23" spans="1:18" x14ac:dyDescent="0.25">
      <c r="A23" s="17" t="s">
        <v>19</v>
      </c>
      <c r="B23" s="10" t="s">
        <v>37</v>
      </c>
      <c r="C23" s="10">
        <v>8555</v>
      </c>
      <c r="D23" s="17" t="s">
        <v>36</v>
      </c>
      <c r="E23" s="18">
        <v>46190</v>
      </c>
      <c r="F23" s="10">
        <v>38</v>
      </c>
      <c r="G23" s="10" t="str">
        <f>IF(F23&gt;=50,"PASS",IF(F23&gt;0,"FAIL", "ABSENT"))</f>
        <v>FAIL</v>
      </c>
      <c r="H23" s="10">
        <v>61.8</v>
      </c>
      <c r="I23" s="10" t="str">
        <f>IF(H23&gt;=50,"PASS",IF(H23&gt;0,"FAIL", "ABSENT"))</f>
        <v>PASS</v>
      </c>
      <c r="J23" s="10">
        <v>89.9</v>
      </c>
      <c r="K23" s="10" t="str">
        <f>IF(J23&gt;=50,"PASS",IF(J23&gt;0,"FAIL", "ABSENT"))</f>
        <v>PASS</v>
      </c>
      <c r="L23" s="10">
        <v>65</v>
      </c>
      <c r="M23" s="10" t="str">
        <f>IF(L23&gt;=50,"PASS",IF(L23&gt;0,"FAIL", "ABSENT"))</f>
        <v>PASS</v>
      </c>
      <c r="N23" s="10">
        <v>32</v>
      </c>
      <c r="O23" s="10" t="str">
        <f>IF(N23&gt;=25,"PASS",IF(N23&gt;0,"FAIL", "ABSENT"))</f>
        <v>PASS</v>
      </c>
      <c r="P23" s="17">
        <f>F23+H23+J23+L23+N23</f>
        <v>286.7</v>
      </c>
      <c r="Q23" s="10" t="str">
        <f>IF(R23&gt;=50,"PASS",IF(R23&gt;0,"FAIL","ABSENT"))</f>
        <v>PASS</v>
      </c>
      <c r="R23" s="19">
        <f>P23/450*100</f>
        <v>63.711111111111109</v>
      </c>
    </row>
    <row r="24" spans="1:18" x14ac:dyDescent="0.25">
      <c r="A24" s="17" t="s">
        <v>19</v>
      </c>
      <c r="B24" s="10" t="s">
        <v>41</v>
      </c>
      <c r="C24" s="10">
        <v>9337</v>
      </c>
      <c r="D24" s="17" t="s">
        <v>36</v>
      </c>
      <c r="E24" s="18">
        <v>46190</v>
      </c>
      <c r="F24" s="10">
        <v>55.9</v>
      </c>
      <c r="G24" s="10" t="str">
        <f>IF(F24&gt;=50,"PASS",IF(F24&gt;0,"FAIL", "ABSENT"))</f>
        <v>PASS</v>
      </c>
      <c r="H24" s="10">
        <v>64.3</v>
      </c>
      <c r="I24" s="10" t="str">
        <f>IF(H24&gt;=50,"PASS",IF(H24&gt;0,"FAIL", "ABSENT"))</f>
        <v>PASS</v>
      </c>
      <c r="J24" s="10">
        <v>67.099999999999994</v>
      </c>
      <c r="K24" s="10" t="str">
        <f>IF(J24&gt;=50,"PASS",IF(J24&gt;0,"FAIL", "ABSENT"))</f>
        <v>PASS</v>
      </c>
      <c r="L24" s="10">
        <v>67.3</v>
      </c>
      <c r="M24" s="10" t="str">
        <f>IF(L24&gt;=50,"PASS",IF(L24&gt;0,"FAIL", "ABSENT"))</f>
        <v>PASS</v>
      </c>
      <c r="N24" s="10">
        <v>27</v>
      </c>
      <c r="O24" s="10" t="str">
        <f>IF(N24&gt;=25,"PASS",IF(N24&gt;0,"FAIL", "ABSENT"))</f>
        <v>PASS</v>
      </c>
      <c r="P24" s="17">
        <f>F24+H24+J24+L24+N24</f>
        <v>281.59999999999997</v>
      </c>
      <c r="Q24" s="10" t="str">
        <f>IF(R24&gt;=50,"PASS",IF(R24&gt;0,"FAIL","ABSENT"))</f>
        <v>PASS</v>
      </c>
      <c r="R24" s="19">
        <f>P24/450*100</f>
        <v>62.577777777777769</v>
      </c>
    </row>
    <row r="25" spans="1:18" hidden="1" x14ac:dyDescent="0.25">
      <c r="A25" s="17" t="s">
        <v>19</v>
      </c>
      <c r="B25" s="10" t="s">
        <v>46</v>
      </c>
      <c r="C25" s="10">
        <v>9344</v>
      </c>
      <c r="D25" s="17" t="s">
        <v>34</v>
      </c>
      <c r="E25" s="18">
        <v>46190</v>
      </c>
      <c r="F25" s="10">
        <v>0</v>
      </c>
      <c r="G25" s="10" t="str">
        <f>IF(F25&gt;=50,"PASS",IF(F25&gt;0,"FAIL", "ABSENT"))</f>
        <v>ABSENT</v>
      </c>
      <c r="H25" s="10">
        <v>0</v>
      </c>
      <c r="I25" s="10" t="str">
        <f>IF(H25&gt;=50,"PASS",IF(H25&gt;0,"FAIL", "ABSENT"))</f>
        <v>ABSENT</v>
      </c>
      <c r="J25" s="10">
        <v>0</v>
      </c>
      <c r="K25" s="10" t="str">
        <f>IF(J25&gt;=50,"PASS",IF(J25&gt;0,"FAIL", "ABSENT"))</f>
        <v>ABSENT</v>
      </c>
      <c r="L25" s="10">
        <v>0</v>
      </c>
      <c r="M25" s="10" t="str">
        <f>IF(L25&gt;=50,"PASS",IF(L25&gt;0,"FAIL", "ABSENT"))</f>
        <v>ABSENT</v>
      </c>
      <c r="N25" s="10">
        <v>0</v>
      </c>
      <c r="O25" s="10" t="str">
        <f>IF(N25&gt;=25,"PASS",IF(N25&gt;0,"FAIL", "ABSENT"))</f>
        <v>ABSENT</v>
      </c>
      <c r="P25" s="17">
        <f>F25+H25+J25+L25+N25</f>
        <v>0</v>
      </c>
      <c r="Q25" s="10" t="str">
        <f>IF(R25&gt;=50,"PASS",IF(R25&gt;0,"FAIL","ABSENT"))</f>
        <v>ABSENT</v>
      </c>
      <c r="R25" s="19">
        <f>P25/450*100</f>
        <v>0</v>
      </c>
    </row>
    <row r="26" spans="1:18" x14ac:dyDescent="0.25">
      <c r="A26" s="17" t="s">
        <v>19</v>
      </c>
      <c r="B26" s="10" t="s">
        <v>43</v>
      </c>
      <c r="C26" s="10">
        <v>9341</v>
      </c>
      <c r="D26" s="17" t="s">
        <v>36</v>
      </c>
      <c r="E26" s="18">
        <v>46190</v>
      </c>
      <c r="F26" s="10">
        <v>53.6</v>
      </c>
      <c r="G26" s="10" t="str">
        <f>IF(F26&gt;=50,"PASS",IF(F26&gt;0,"FAIL", "ABSENT"))</f>
        <v>PASS</v>
      </c>
      <c r="H26" s="10">
        <v>72.3</v>
      </c>
      <c r="I26" s="10" t="str">
        <f>IF(H26&gt;=50,"PASS",IF(H26&gt;0,"FAIL", "ABSENT"))</f>
        <v>PASS</v>
      </c>
      <c r="J26" s="10">
        <v>65.599999999999994</v>
      </c>
      <c r="K26" s="10" t="str">
        <f>IF(J26&gt;=50,"PASS",IF(J26&gt;0,"FAIL", "ABSENT"))</f>
        <v>PASS</v>
      </c>
      <c r="L26" s="10">
        <v>73.400000000000006</v>
      </c>
      <c r="M26" s="10" t="str">
        <f>IF(L26&gt;=50,"PASS",IF(L26&gt;0,"FAIL", "ABSENT"))</f>
        <v>PASS</v>
      </c>
      <c r="N26" s="10">
        <v>42</v>
      </c>
      <c r="O26" s="10" t="str">
        <f>IF(N26&gt;=25,"PASS",IF(N26&gt;0,"FAIL", "ABSENT"))</f>
        <v>PASS</v>
      </c>
      <c r="P26" s="17">
        <f>F26+H26+J26+L26+N26</f>
        <v>306.89999999999998</v>
      </c>
      <c r="Q26" s="10" t="str">
        <f>IF(R26&gt;=50,"PASS",IF(R26&gt;0,"FAIL","ABSENT"))</f>
        <v>PASS</v>
      </c>
      <c r="R26" s="19">
        <f>P26/450*100</f>
        <v>68.199999999999989</v>
      </c>
    </row>
    <row r="27" spans="1:18" x14ac:dyDescent="0.25">
      <c r="A27" s="17" t="s">
        <v>19</v>
      </c>
      <c r="B27" s="10" t="s">
        <v>44</v>
      </c>
      <c r="C27" s="10">
        <v>9342</v>
      </c>
      <c r="D27" s="17" t="s">
        <v>36</v>
      </c>
      <c r="E27" s="18">
        <v>46190</v>
      </c>
      <c r="F27" s="10">
        <v>54.5</v>
      </c>
      <c r="G27" s="10" t="str">
        <f>IF(F27&gt;=50,"PASS",IF(F27&gt;0,"FAIL", "ABSENT"))</f>
        <v>PASS</v>
      </c>
      <c r="H27" s="10">
        <v>59.9</v>
      </c>
      <c r="I27" s="10" t="str">
        <f>IF(H27&gt;=50,"PASS",IF(H27&gt;0,"FAIL", "ABSENT"))</f>
        <v>PASS</v>
      </c>
      <c r="J27" s="10">
        <v>63.8</v>
      </c>
      <c r="K27" s="10" t="str">
        <f>IF(J27&gt;=50,"PASS",IF(J27&gt;0,"FAIL", "ABSENT"))</f>
        <v>PASS</v>
      </c>
      <c r="L27" s="10">
        <v>74.2</v>
      </c>
      <c r="M27" s="10" t="str">
        <f>IF(L27&gt;=50,"PASS",IF(L27&gt;0,"FAIL", "ABSENT"))</f>
        <v>PASS</v>
      </c>
      <c r="N27" s="10">
        <v>21</v>
      </c>
      <c r="O27" s="10" t="str">
        <f>IF(N27&gt;=25,"PASS",IF(N27&gt;0,"FAIL", "ABSENT"))</f>
        <v>FAIL</v>
      </c>
      <c r="P27" s="17">
        <f>F27+H27+J27+L27+N27</f>
        <v>273.39999999999998</v>
      </c>
      <c r="Q27" s="10" t="str">
        <f>IF(R27&gt;=50,"PASS",IF(R27&gt;0,"FAIL","ABSENT"))</f>
        <v>PASS</v>
      </c>
      <c r="R27" s="19">
        <f>P27/450*100</f>
        <v>60.755555555555553</v>
      </c>
    </row>
    <row r="28" spans="1:18" hidden="1" x14ac:dyDescent="0.25">
      <c r="A28" s="17" t="s">
        <v>19</v>
      </c>
      <c r="B28" s="10" t="s">
        <v>50</v>
      </c>
      <c r="C28" s="10">
        <v>9334</v>
      </c>
      <c r="D28" s="17" t="s">
        <v>34</v>
      </c>
      <c r="E28" s="18">
        <v>46190</v>
      </c>
      <c r="F28" s="10">
        <v>0</v>
      </c>
      <c r="G28" s="10" t="str">
        <f>IF(F28&gt;=50,"PASS",IF(F28&gt;0,"FAIL", "ABSENT"))</f>
        <v>ABSENT</v>
      </c>
      <c r="H28" s="10">
        <v>0</v>
      </c>
      <c r="I28" s="10" t="str">
        <f>IF(H28&gt;=50,"PASS",IF(H28&gt;0,"FAIL", "ABSENT"))</f>
        <v>ABSENT</v>
      </c>
      <c r="J28" s="10">
        <v>0</v>
      </c>
      <c r="K28" s="10" t="str">
        <f>IF(J28&gt;=50,"PASS",IF(J28&gt;0,"FAIL", "ABSENT"))</f>
        <v>ABSENT</v>
      </c>
      <c r="L28" s="10">
        <v>0</v>
      </c>
      <c r="M28" s="10" t="str">
        <f>IF(L28&gt;=50,"PASS",IF(L28&gt;0,"FAIL", "ABSENT"))</f>
        <v>ABSENT</v>
      </c>
      <c r="N28" s="10">
        <v>0</v>
      </c>
      <c r="O28" s="10" t="str">
        <f>IF(N28&gt;=25,"PASS",IF(N28&gt;0,"FAIL", "ABSENT"))</f>
        <v>ABSENT</v>
      </c>
      <c r="P28" s="17">
        <f>F28+H28+J28+L28+N28</f>
        <v>0</v>
      </c>
      <c r="Q28" s="10" t="str">
        <f>IF(R28&gt;=50,"PASS",IF(R28&gt;0,"FAIL","ABSENT"))</f>
        <v>ABSENT</v>
      </c>
      <c r="R28" s="19">
        <f>P28/450*100</f>
        <v>0</v>
      </c>
    </row>
    <row r="29" spans="1:18" x14ac:dyDescent="0.25">
      <c r="A29" s="17" t="s">
        <v>19</v>
      </c>
      <c r="B29" s="10" t="s">
        <v>45</v>
      </c>
      <c r="C29" s="10">
        <v>9343</v>
      </c>
      <c r="D29" s="17" t="s">
        <v>36</v>
      </c>
      <c r="E29" s="18">
        <v>46190</v>
      </c>
      <c r="F29" s="10">
        <v>77.3</v>
      </c>
      <c r="G29" s="10" t="str">
        <f>IF(F29&gt;=50,"PASS",IF(F29&gt;0,"FAIL", "ABSENT"))</f>
        <v>PASS</v>
      </c>
      <c r="H29" s="10">
        <v>46.9</v>
      </c>
      <c r="I29" s="10" t="str">
        <f>IF(H29&gt;=50,"PASS",IF(H29&gt;0,"FAIL", "ABSENT"))</f>
        <v>FAIL</v>
      </c>
      <c r="J29" s="10">
        <v>59.4</v>
      </c>
      <c r="K29" s="10" t="str">
        <f>IF(J29&gt;=50,"PASS",IF(J29&gt;0,"FAIL", "ABSENT"))</f>
        <v>PASS</v>
      </c>
      <c r="L29" s="10">
        <v>48.8</v>
      </c>
      <c r="M29" s="10" t="str">
        <f>IF(L29&gt;=50,"PASS",IF(L29&gt;0,"FAIL", "ABSENT"))</f>
        <v>FAIL</v>
      </c>
      <c r="N29" s="10">
        <v>26</v>
      </c>
      <c r="O29" s="10" t="str">
        <f>IF(N29&gt;=25,"PASS",IF(N29&gt;0,"FAIL", "ABSENT"))</f>
        <v>PASS</v>
      </c>
      <c r="P29" s="17">
        <f>F29+H29+J29+L29+N29</f>
        <v>258.39999999999998</v>
      </c>
      <c r="Q29" s="10" t="str">
        <f>IF(R29&gt;=50,"PASS",IF(R29&gt;0,"FAIL","ABSENT"))</f>
        <v>PASS</v>
      </c>
      <c r="R29" s="19">
        <f>P29/450*100</f>
        <v>57.422222222222217</v>
      </c>
    </row>
    <row r="30" spans="1:18" x14ac:dyDescent="0.25">
      <c r="A30" s="17" t="s">
        <v>19</v>
      </c>
      <c r="B30" s="10" t="s">
        <v>47</v>
      </c>
      <c r="C30" s="10">
        <v>9345</v>
      </c>
      <c r="D30" s="17" t="s">
        <v>36</v>
      </c>
      <c r="E30" s="18">
        <v>46190</v>
      </c>
      <c r="F30" s="10">
        <v>53.2</v>
      </c>
      <c r="G30" s="10" t="str">
        <f>IF(F30&gt;=50,"PASS",IF(F30&gt;0,"FAIL", "ABSENT"))</f>
        <v>PASS</v>
      </c>
      <c r="H30" s="10">
        <v>66.900000000000006</v>
      </c>
      <c r="I30" s="10" t="str">
        <f>IF(H30&gt;=50,"PASS",IF(H30&gt;0,"FAIL", "ABSENT"))</f>
        <v>PASS</v>
      </c>
      <c r="J30" s="10">
        <v>69.599999999999994</v>
      </c>
      <c r="K30" s="10" t="str">
        <f>IF(J30&gt;=50,"PASS",IF(J30&gt;0,"FAIL", "ABSENT"))</f>
        <v>PASS</v>
      </c>
      <c r="L30" s="10">
        <v>64.900000000000006</v>
      </c>
      <c r="M30" s="10" t="str">
        <f>IF(L30&gt;=50,"PASS",IF(L30&gt;0,"FAIL", "ABSENT"))</f>
        <v>PASS</v>
      </c>
      <c r="N30" s="10">
        <v>50</v>
      </c>
      <c r="O30" s="10" t="str">
        <f>IF(N30&gt;=25,"PASS",IF(N30&gt;0,"FAIL", "ABSENT"))</f>
        <v>PASS</v>
      </c>
      <c r="P30" s="17">
        <f>F30+H30+J30+L30+N30</f>
        <v>304.60000000000002</v>
      </c>
      <c r="Q30" s="10" t="str">
        <f>IF(R30&gt;=50,"PASS",IF(R30&gt;0,"FAIL","ABSENT"))</f>
        <v>PASS</v>
      </c>
      <c r="R30" s="19">
        <f>P30/450*100</f>
        <v>67.688888888888897</v>
      </c>
    </row>
    <row r="31" spans="1:18" x14ac:dyDescent="0.25">
      <c r="A31" s="17" t="s">
        <v>19</v>
      </c>
      <c r="B31" s="10" t="s">
        <v>53</v>
      </c>
      <c r="C31" s="10">
        <v>9338</v>
      </c>
      <c r="D31" s="17" t="s">
        <v>49</v>
      </c>
      <c r="E31" s="18">
        <v>46190</v>
      </c>
      <c r="F31" s="10">
        <v>67.099999999999994</v>
      </c>
      <c r="G31" s="10" t="str">
        <f>IF(F31&gt;=50,"PASS",IF(F31&gt;0,"FAIL", "ABSENT"))</f>
        <v>PASS</v>
      </c>
      <c r="H31" s="10">
        <v>66.2</v>
      </c>
      <c r="I31" s="10" t="str">
        <f>IF(H31&gt;=50,"PASS",IF(H31&gt;0,"FAIL", "ABSENT"))</f>
        <v>PASS</v>
      </c>
      <c r="J31" s="10">
        <v>65.5</v>
      </c>
      <c r="K31" s="10" t="str">
        <f>IF(J31&gt;=50,"PASS",IF(J31&gt;0,"FAIL", "ABSENT"))</f>
        <v>PASS</v>
      </c>
      <c r="L31" s="10">
        <v>69</v>
      </c>
      <c r="M31" s="10" t="str">
        <f>IF(L31&gt;=50,"PASS",IF(L31&gt;0,"FAIL", "ABSENT"))</f>
        <v>PASS</v>
      </c>
      <c r="N31" s="10">
        <v>20</v>
      </c>
      <c r="O31" s="10" t="str">
        <f>IF(N31&gt;=25,"PASS",IF(N31&gt;0,"FAIL", "ABSENT"))</f>
        <v>FAIL</v>
      </c>
      <c r="P31" s="17">
        <f>F31+H31+J31+L31+N31</f>
        <v>287.8</v>
      </c>
      <c r="Q31" s="10" t="str">
        <f>IF(R31&gt;=50,"PASS",IF(R31&gt;0,"FAIL","ABSENT"))</f>
        <v>PASS</v>
      </c>
      <c r="R31" s="19">
        <f>P31/450*100</f>
        <v>63.955555555555556</v>
      </c>
    </row>
    <row r="32" spans="1:18" hidden="1" x14ac:dyDescent="0.25">
      <c r="A32" s="17" t="s">
        <v>19</v>
      </c>
      <c r="B32" s="10" t="s">
        <v>54</v>
      </c>
      <c r="C32" s="10">
        <v>9339</v>
      </c>
      <c r="D32" s="17" t="s">
        <v>34</v>
      </c>
      <c r="E32" s="18">
        <v>46190</v>
      </c>
      <c r="F32" s="10">
        <v>0</v>
      </c>
      <c r="G32" s="10" t="str">
        <f t="shared" si="0"/>
        <v>ABSENT</v>
      </c>
      <c r="H32" s="10">
        <v>0</v>
      </c>
      <c r="I32" s="10" t="str">
        <f t="shared" si="1"/>
        <v>ABSENT</v>
      </c>
      <c r="J32" s="10">
        <v>0</v>
      </c>
      <c r="K32" s="10" t="str">
        <f t="shared" si="2"/>
        <v>ABSENT</v>
      </c>
      <c r="L32" s="10">
        <v>0</v>
      </c>
      <c r="M32" s="10" t="str">
        <f t="shared" si="3"/>
        <v>ABSENT</v>
      </c>
      <c r="N32" s="10">
        <v>0</v>
      </c>
      <c r="O32" s="10" t="str">
        <f t="shared" si="4"/>
        <v>ABSENT</v>
      </c>
      <c r="P32" s="17">
        <f t="shared" si="5"/>
        <v>0</v>
      </c>
      <c r="Q32" s="10" t="str">
        <f t="shared" si="6"/>
        <v>ABSENT</v>
      </c>
      <c r="R32" s="19">
        <f t="shared" si="7"/>
        <v>0</v>
      </c>
    </row>
    <row r="33" spans="1:18" hidden="1" x14ac:dyDescent="0.25">
      <c r="A33" s="17" t="s">
        <v>19</v>
      </c>
      <c r="B33" s="10" t="s">
        <v>55</v>
      </c>
      <c r="C33" s="10">
        <v>9346</v>
      </c>
      <c r="D33" s="17" t="s">
        <v>34</v>
      </c>
      <c r="E33" s="18">
        <v>46190</v>
      </c>
      <c r="F33" s="10">
        <v>0</v>
      </c>
      <c r="G33" s="10" t="str">
        <f t="shared" si="0"/>
        <v>ABSENT</v>
      </c>
      <c r="H33" s="10">
        <v>0</v>
      </c>
      <c r="I33" s="10" t="str">
        <f t="shared" si="1"/>
        <v>ABSENT</v>
      </c>
      <c r="J33" s="10">
        <v>0</v>
      </c>
      <c r="K33" s="10" t="str">
        <f t="shared" si="2"/>
        <v>ABSENT</v>
      </c>
      <c r="L33" s="10">
        <v>0</v>
      </c>
      <c r="M33" s="10" t="str">
        <f t="shared" si="3"/>
        <v>ABSENT</v>
      </c>
      <c r="N33" s="10">
        <v>0</v>
      </c>
      <c r="O33" s="10" t="str">
        <f t="shared" si="4"/>
        <v>ABSENT</v>
      </c>
      <c r="P33" s="17">
        <f t="shared" si="5"/>
        <v>0</v>
      </c>
      <c r="Q33" s="10" t="str">
        <f t="shared" si="6"/>
        <v>ABSENT</v>
      </c>
      <c r="R33" s="19">
        <f t="shared" si="7"/>
        <v>0</v>
      </c>
    </row>
  </sheetData>
  <autoFilter ref="A13:R33" xr:uid="{00000000-0001-0000-0000-000000000000}">
    <filterColumn colId="16">
      <filters>
        <filter val="FAIL"/>
        <filter val="PASS"/>
      </filters>
    </filterColumn>
    <sortState xmlns:xlrd2="http://schemas.microsoft.com/office/spreadsheetml/2017/richdata2" ref="A15:R31">
      <sortCondition ref="Q15:Q33"/>
    </sortState>
  </autoFilter>
  <conditionalFormatting sqref="C15:C33">
    <cfRule type="duplicateValues" dxfId="1" priority="2"/>
  </conditionalFormatting>
  <conditionalFormatting sqref="E14:E33 P14:P33">
    <cfRule type="cellIs" dxfId="0" priority="3" operator="equal">
      <formula>"Fail"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showGridLines="0" topLeftCell="A51" zoomScale="85" zoomScaleNormal="85" workbookViewId="0">
      <selection activeCell="F8" sqref="F8"/>
    </sheetView>
  </sheetViews>
  <sheetFormatPr defaultColWidth="8.5703125" defaultRowHeight="15" x14ac:dyDescent="0.25"/>
  <cols>
    <col min="1" max="1" width="15.7109375" customWidth="1"/>
    <col min="2" max="2" width="13" customWidth="1"/>
    <col min="4" max="5" width="10.85546875" customWidth="1"/>
    <col min="6" max="6" width="10.28515625" customWidth="1"/>
    <col min="7" max="7" width="10.42578125" customWidth="1"/>
  </cols>
  <sheetData>
    <row r="1" spans="1:7" ht="14.45" customHeight="1" x14ac:dyDescent="0.25">
      <c r="A1" s="8" t="s">
        <v>56</v>
      </c>
      <c r="B1" s="8"/>
      <c r="C1" s="8"/>
      <c r="D1" s="8"/>
      <c r="E1" s="8"/>
      <c r="F1" s="8"/>
      <c r="G1" s="8"/>
    </row>
    <row r="2" spans="1:7" x14ac:dyDescent="0.25">
      <c r="A2" s="7" t="s">
        <v>57</v>
      </c>
      <c r="B2" s="7"/>
      <c r="C2" s="7"/>
      <c r="D2" s="7"/>
      <c r="E2" s="7"/>
      <c r="F2" s="7"/>
      <c r="G2" s="7"/>
    </row>
    <row r="3" spans="1:7" x14ac:dyDescent="0.25">
      <c r="A3" s="21" t="s">
        <v>58</v>
      </c>
      <c r="B3" s="7" t="str">
        <f>score_sheet!B10</f>
        <v>TPA0221220260179</v>
      </c>
      <c r="C3" s="7"/>
      <c r="D3" s="7"/>
      <c r="E3" s="7"/>
      <c r="F3" s="7"/>
      <c r="G3" s="7"/>
    </row>
    <row r="4" spans="1:7" ht="30" x14ac:dyDescent="0.25">
      <c r="A4" s="22" t="s">
        <v>59</v>
      </c>
      <c r="B4" s="6" t="str">
        <f>score_sheet!B6</f>
        <v>TPA</v>
      </c>
      <c r="C4" s="6"/>
      <c r="D4" s="23" t="s">
        <v>60</v>
      </c>
      <c r="E4" s="5">
        <v>0.5</v>
      </c>
      <c r="F4" s="5"/>
      <c r="G4" s="5"/>
    </row>
    <row r="5" spans="1:7" x14ac:dyDescent="0.25">
      <c r="A5" s="24" t="s">
        <v>23</v>
      </c>
      <c r="B5" s="4">
        <f>score_sheet!E14</f>
        <v>46190</v>
      </c>
      <c r="C5" s="4"/>
      <c r="D5" s="4"/>
      <c r="E5" s="4"/>
      <c r="F5" s="4"/>
      <c r="G5" s="4"/>
    </row>
    <row r="6" spans="1:7" x14ac:dyDescent="0.25">
      <c r="A6" s="25" t="s">
        <v>61</v>
      </c>
      <c r="B6" s="26" t="str">
        <f>score_sheet!B3</f>
        <v>Digital Mitra</v>
      </c>
      <c r="C6" s="27"/>
      <c r="D6" s="28"/>
      <c r="E6" s="28"/>
      <c r="F6" s="28"/>
      <c r="G6" s="29"/>
    </row>
    <row r="7" spans="1:7" ht="14.45" customHeight="1" x14ac:dyDescent="0.25">
      <c r="A7" s="3" t="s">
        <v>62</v>
      </c>
      <c r="C7" s="25" t="s">
        <v>30</v>
      </c>
      <c r="D7" s="2" t="s">
        <v>63</v>
      </c>
      <c r="E7" s="2"/>
      <c r="F7" s="20" t="s">
        <v>64</v>
      </c>
      <c r="G7" s="20" t="s">
        <v>65</v>
      </c>
    </row>
    <row r="8" spans="1:7" x14ac:dyDescent="0.25">
      <c r="A8" s="3"/>
      <c r="B8" s="30" t="s">
        <v>66</v>
      </c>
      <c r="C8" s="31">
        <f>COUNT(score_sheet!R14:R33)</f>
        <v>20</v>
      </c>
      <c r="D8" s="2"/>
      <c r="E8" s="2"/>
      <c r="F8" s="32">
        <f>COUNTIF(score_sheet!D14:D33,"M")</f>
        <v>4</v>
      </c>
      <c r="G8" s="32">
        <f>COUNTIF(score_sheet!D14:D33,"F")</f>
        <v>9</v>
      </c>
    </row>
    <row r="9" spans="1:7" x14ac:dyDescent="0.25">
      <c r="A9" s="3"/>
      <c r="B9" s="30" t="s">
        <v>67</v>
      </c>
      <c r="C9" s="31">
        <f>COUNTIF(score_sheet!Q14:Q33,"PASS")+COUNTIF(score_sheet!Q14:Q33,"FAIL")</f>
        <v>13</v>
      </c>
      <c r="D9" s="2"/>
      <c r="E9" s="2"/>
      <c r="F9" s="32">
        <f>COUNTIFS(score_sheet!$D$14:$D$33,"M",score_sheet!$Q$14:$Q$33,"PASS")+COUNTIFS(score_sheet!$D$14:$D$33,"M",score_sheet!$Q$14:$Q$33,"FAIL")</f>
        <v>4</v>
      </c>
      <c r="G9" s="32">
        <f>COUNTIFS(score_sheet!$D$14:$D$33,"F",score_sheet!$Q$14:$Q$33,"PASS")+COUNTIFS(score_sheet!$D$14:$D$33,"F",score_sheet!$Q$14:$Q$33,"FAIL")</f>
        <v>9</v>
      </c>
    </row>
    <row r="10" spans="1:7" x14ac:dyDescent="0.25">
      <c r="A10" s="3"/>
      <c r="B10" s="30" t="s">
        <v>68</v>
      </c>
      <c r="C10" s="31">
        <f>COUNTIF(score_sheet!Q14:Q33,"PASS")</f>
        <v>8</v>
      </c>
      <c r="D10" s="2"/>
      <c r="E10" s="2"/>
      <c r="F10" s="32">
        <f>COUNTIFS(score_sheet!$D$14:$D$33,"M",score_sheet!$Q$14:$Q$33,"PASS")</f>
        <v>1</v>
      </c>
      <c r="G10" s="32">
        <f>COUNTIFS(score_sheet!$D$14:$D$33,"F",score_sheet!$Q$14:$Q$33,"PASS")</f>
        <v>7</v>
      </c>
    </row>
    <row r="11" spans="1:7" x14ac:dyDescent="0.25">
      <c r="A11" s="7" t="s">
        <v>69</v>
      </c>
      <c r="B11" s="7"/>
      <c r="C11" s="7"/>
      <c r="D11" s="7"/>
      <c r="E11" s="7"/>
      <c r="F11" s="7"/>
      <c r="G11" s="7"/>
    </row>
    <row r="12" spans="1:7" ht="60" x14ac:dyDescent="0.25">
      <c r="A12" s="33"/>
      <c r="B12" s="20" t="s">
        <v>70</v>
      </c>
      <c r="C12" s="20" t="s">
        <v>71</v>
      </c>
      <c r="D12" s="20" t="s">
        <v>72</v>
      </c>
      <c r="E12" s="20" t="s">
        <v>73</v>
      </c>
      <c r="F12" s="20" t="s">
        <v>74</v>
      </c>
      <c r="G12" s="20" t="s">
        <v>75</v>
      </c>
    </row>
    <row r="13" spans="1:7" x14ac:dyDescent="0.25">
      <c r="A13" s="34" t="s">
        <v>76</v>
      </c>
      <c r="B13" s="35">
        <f>$C$10/$C$9*100</f>
        <v>61.53846153846154</v>
      </c>
      <c r="C13" s="36">
        <f>AVERAGE(score_sheet!F$14:F$33)</f>
        <v>33.620000000000005</v>
      </c>
      <c r="D13" s="36">
        <f>MIN(score_sheet!F$14:F$33)</f>
        <v>0</v>
      </c>
      <c r="E13" s="37">
        <f>MAX(score_sheet!F$14:F$33)</f>
        <v>77.3</v>
      </c>
      <c r="F13" s="38">
        <f>MEDIAN(score_sheet!F$14:F$33)</f>
        <v>40.799999999999997</v>
      </c>
      <c r="G13" s="37">
        <f>STDEVP(score_sheet!F$14:F$33)</f>
        <v>26.997085027832167</v>
      </c>
    </row>
    <row r="14" spans="1:7" x14ac:dyDescent="0.25">
      <c r="A14" s="34" t="s">
        <v>77</v>
      </c>
      <c r="B14" s="35">
        <f>$C$10/$C$9*100</f>
        <v>61.53846153846154</v>
      </c>
      <c r="C14" s="36">
        <f>AVERAGE(score_sheet!H$14:H$33)</f>
        <v>32.9</v>
      </c>
      <c r="D14" s="36">
        <f>MIN(score_sheet!H$14:H$33)</f>
        <v>0</v>
      </c>
      <c r="E14" s="37">
        <f>MAX(score_sheet!H$14:H$33)</f>
        <v>72.3</v>
      </c>
      <c r="F14" s="38">
        <f>MEDIAN(score_sheet!H$14:H$33)</f>
        <v>35.650000000000006</v>
      </c>
      <c r="G14" s="37">
        <f>STDEVP(score_sheet!H$14:H$33)</f>
        <v>27.768237250498995</v>
      </c>
    </row>
    <row r="15" spans="1:7" x14ac:dyDescent="0.25">
      <c r="A15" s="34" t="s">
        <v>78</v>
      </c>
      <c r="B15" s="35">
        <f>$C$10/$C$9*100</f>
        <v>61.53846153846154</v>
      </c>
      <c r="C15" s="36">
        <f>AVERAGE(score_sheet!J$14:J$33)</f>
        <v>35.385000000000005</v>
      </c>
      <c r="D15" s="36">
        <f>MIN(score_sheet!J$14:J$33)</f>
        <v>0</v>
      </c>
      <c r="E15" s="37">
        <f>MAX(score_sheet!J$14:J$33)</f>
        <v>89.9</v>
      </c>
      <c r="F15" s="38">
        <f>MEDIAN(score_sheet!J$14:J$33)</f>
        <v>35.099999999999994</v>
      </c>
      <c r="G15" s="37">
        <f>STDEVP(score_sheet!J$14:J$33)</f>
        <v>30.94285499109608</v>
      </c>
    </row>
    <row r="16" spans="1:7" x14ac:dyDescent="0.25">
      <c r="A16" s="34" t="s">
        <v>79</v>
      </c>
      <c r="B16" s="35">
        <f>$C$10/$C$9*100</f>
        <v>61.53846153846154</v>
      </c>
      <c r="C16" s="36">
        <f>AVERAGE(score_sheet!L$14:L$33)</f>
        <v>34.285000000000004</v>
      </c>
      <c r="D16" s="36">
        <f>MIN(score_sheet!L$14:L$33)</f>
        <v>0</v>
      </c>
      <c r="E16" s="37">
        <f>MAX(score_sheet!L$14:L$33)</f>
        <v>74.2</v>
      </c>
      <c r="F16" s="38">
        <f>MEDIAN(score_sheet!L$14:L$33)</f>
        <v>37.849999999999994</v>
      </c>
      <c r="G16" s="37">
        <f>STDEVP(score_sheet!L$14:L$33)</f>
        <v>28.946127115730008</v>
      </c>
    </row>
    <row r="17" spans="1:7" x14ac:dyDescent="0.25">
      <c r="A17" s="34" t="s">
        <v>80</v>
      </c>
      <c r="B17" s="35">
        <f>$C$10/$C$9*100</f>
        <v>61.53846153846154</v>
      </c>
      <c r="C17" s="36">
        <f>AVERAGE(score_sheet!N$14:N$33)</f>
        <v>15.65</v>
      </c>
      <c r="D17" s="36">
        <f>MIN(score_sheet!N$14:N$33)</f>
        <v>0</v>
      </c>
      <c r="E17" s="37">
        <f>MAX(score_sheet!N$14:N$33)</f>
        <v>50</v>
      </c>
      <c r="F17" s="38">
        <f>MEDIAN(score_sheet!N$14:N$33)</f>
        <v>14</v>
      </c>
      <c r="G17" s="37">
        <f>STDEVP(score_sheet!N$14:N$33)</f>
        <v>15.799604425427871</v>
      </c>
    </row>
    <row r="18" spans="1:7" x14ac:dyDescent="0.25">
      <c r="A18" s="7" t="s">
        <v>81</v>
      </c>
      <c r="B18" s="7"/>
      <c r="C18" s="7"/>
      <c r="D18" s="7"/>
      <c r="E18" s="7"/>
      <c r="F18" s="7"/>
      <c r="G18" s="7"/>
    </row>
    <row r="19" spans="1:7" x14ac:dyDescent="0.25">
      <c r="A19" s="39"/>
      <c r="B19" s="40">
        <v>1</v>
      </c>
      <c r="C19" s="40">
        <v>2</v>
      </c>
      <c r="D19" s="40">
        <v>3</v>
      </c>
      <c r="E19" s="40">
        <v>4</v>
      </c>
      <c r="F19" s="40">
        <v>5</v>
      </c>
      <c r="G19" s="40">
        <v>6</v>
      </c>
    </row>
    <row r="20" spans="1:7" ht="15" customHeight="1" x14ac:dyDescent="0.25">
      <c r="A20" s="1" t="s">
        <v>76</v>
      </c>
      <c r="B20" s="40" t="s">
        <v>82</v>
      </c>
      <c r="C20" s="40" t="s">
        <v>83</v>
      </c>
      <c r="D20" s="40" t="s">
        <v>84</v>
      </c>
      <c r="E20" s="40" t="s">
        <v>85</v>
      </c>
      <c r="F20" s="40" t="s">
        <v>86</v>
      </c>
      <c r="G20" s="40" t="s">
        <v>87</v>
      </c>
    </row>
    <row r="21" spans="1:7" x14ac:dyDescent="0.25">
      <c r="A21" s="1"/>
      <c r="B21" s="40" t="s">
        <v>88</v>
      </c>
      <c r="C21" s="40" t="s">
        <v>89</v>
      </c>
      <c r="D21" s="26"/>
      <c r="E21" s="26"/>
      <c r="F21" s="26"/>
      <c r="G21" s="26"/>
    </row>
    <row r="22" spans="1:7" x14ac:dyDescent="0.25">
      <c r="A22" s="1"/>
      <c r="B22" s="41"/>
      <c r="C22" s="41"/>
      <c r="D22" s="41"/>
      <c r="E22" s="41"/>
      <c r="F22" s="41"/>
      <c r="G22" s="41"/>
    </row>
    <row r="23" spans="1:7" ht="15" customHeight="1" x14ac:dyDescent="0.25">
      <c r="A23" s="1" t="s">
        <v>77</v>
      </c>
      <c r="B23" s="40" t="s">
        <v>90</v>
      </c>
      <c r="C23" s="40" t="s">
        <v>83</v>
      </c>
      <c r="D23" s="40" t="s">
        <v>91</v>
      </c>
      <c r="E23" s="40" t="s">
        <v>92</v>
      </c>
      <c r="F23" s="40" t="s">
        <v>82</v>
      </c>
      <c r="G23" s="40" t="s">
        <v>93</v>
      </c>
    </row>
    <row r="24" spans="1:7" x14ac:dyDescent="0.25">
      <c r="A24" s="1"/>
      <c r="B24" s="40" t="s">
        <v>94</v>
      </c>
      <c r="C24" s="40" t="s">
        <v>95</v>
      </c>
      <c r="D24" s="26"/>
      <c r="E24" s="26"/>
      <c r="F24" s="26"/>
      <c r="G24" s="26"/>
    </row>
    <row r="25" spans="1:7" x14ac:dyDescent="0.25">
      <c r="A25" s="1"/>
      <c r="B25" s="41"/>
      <c r="C25" s="41"/>
      <c r="D25" s="41"/>
      <c r="E25" s="41"/>
      <c r="F25" s="41"/>
      <c r="G25" s="41"/>
    </row>
    <row r="26" spans="1:7" ht="15" customHeight="1" x14ac:dyDescent="0.25">
      <c r="A26" s="1" t="s">
        <v>78</v>
      </c>
      <c r="B26" s="40" t="s">
        <v>96</v>
      </c>
      <c r="C26" s="40" t="s">
        <v>83</v>
      </c>
      <c r="D26" s="40" t="s">
        <v>91</v>
      </c>
      <c r="E26" s="40" t="s">
        <v>84</v>
      </c>
      <c r="F26" s="40" t="s">
        <v>85</v>
      </c>
      <c r="G26" s="40" t="s">
        <v>86</v>
      </c>
    </row>
    <row r="27" spans="1:7" x14ac:dyDescent="0.25">
      <c r="A27" s="1"/>
      <c r="B27" s="40" t="s">
        <v>90</v>
      </c>
      <c r="C27" s="40" t="s">
        <v>97</v>
      </c>
      <c r="D27" s="26"/>
      <c r="E27" s="26"/>
      <c r="F27" s="26"/>
      <c r="G27" s="26"/>
    </row>
    <row r="28" spans="1:7" x14ac:dyDescent="0.25">
      <c r="A28" s="1"/>
      <c r="B28" s="41"/>
      <c r="C28" s="41"/>
      <c r="D28" s="41"/>
      <c r="E28" s="41"/>
      <c r="F28" s="41"/>
      <c r="G28" s="41"/>
    </row>
    <row r="29" spans="1:7" ht="15" customHeight="1" x14ac:dyDescent="0.25">
      <c r="A29" s="1" t="s">
        <v>79</v>
      </c>
      <c r="B29" s="40" t="s">
        <v>94</v>
      </c>
      <c r="C29" s="40" t="s">
        <v>98</v>
      </c>
      <c r="D29" s="40" t="s">
        <v>95</v>
      </c>
      <c r="E29" s="40" t="s">
        <v>99</v>
      </c>
      <c r="F29" s="40" t="s">
        <v>93</v>
      </c>
      <c r="G29" s="40" t="s">
        <v>100</v>
      </c>
    </row>
    <row r="30" spans="1:7" x14ac:dyDescent="0.25">
      <c r="A30" s="1"/>
      <c r="B30" s="40" t="s">
        <v>83</v>
      </c>
      <c r="C30" s="26"/>
      <c r="D30" s="26"/>
      <c r="E30" s="26"/>
      <c r="F30" s="26"/>
      <c r="G30" s="26"/>
    </row>
    <row r="31" spans="1:7" x14ac:dyDescent="0.25">
      <c r="A31" s="1"/>
      <c r="B31" s="41"/>
      <c r="C31" s="41"/>
      <c r="D31" s="41"/>
      <c r="E31" s="41"/>
      <c r="F31" s="41"/>
      <c r="G31" s="41"/>
    </row>
    <row r="32" spans="1:7" ht="15" customHeight="1" x14ac:dyDescent="0.25">
      <c r="A32" s="1" t="s">
        <v>80</v>
      </c>
      <c r="B32" s="40" t="s">
        <v>93</v>
      </c>
      <c r="C32" s="40" t="s">
        <v>88</v>
      </c>
      <c r="D32" s="40" t="s">
        <v>91</v>
      </c>
      <c r="E32" s="40" t="s">
        <v>100</v>
      </c>
      <c r="F32" s="41"/>
      <c r="G32" s="41"/>
    </row>
    <row r="33" spans="1:7" x14ac:dyDescent="0.25">
      <c r="A33" s="1"/>
      <c r="B33" s="41"/>
      <c r="C33" s="41"/>
      <c r="D33" s="41"/>
      <c r="E33" s="41"/>
      <c r="F33" s="41"/>
      <c r="G33" s="41"/>
    </row>
    <row r="34" spans="1:7" x14ac:dyDescent="0.25">
      <c r="A34" s="1"/>
      <c r="B34" s="41"/>
      <c r="C34" s="41"/>
      <c r="D34" s="41"/>
      <c r="E34" s="41"/>
      <c r="F34" s="41"/>
      <c r="G34" s="41"/>
    </row>
    <row r="35" spans="1:7" x14ac:dyDescent="0.25">
      <c r="A35" s="7" t="s">
        <v>101</v>
      </c>
      <c r="B35" s="7"/>
      <c r="C35" s="7"/>
      <c r="D35" s="7"/>
      <c r="E35" s="7"/>
      <c r="F35" s="7"/>
      <c r="G35" s="7"/>
    </row>
    <row r="36" spans="1:7" ht="15" customHeight="1" x14ac:dyDescent="0.25">
      <c r="A36" s="1" t="s">
        <v>76</v>
      </c>
      <c r="B36" s="40" t="s">
        <v>95</v>
      </c>
      <c r="C36" s="42"/>
      <c r="D36" s="42"/>
      <c r="E36" s="42"/>
      <c r="F36" s="42"/>
      <c r="G36" s="42"/>
    </row>
    <row r="37" spans="1:7" x14ac:dyDescent="0.25">
      <c r="A37" s="1"/>
      <c r="B37" s="42"/>
      <c r="C37" s="42"/>
      <c r="D37" s="42"/>
      <c r="E37" s="42"/>
      <c r="F37" s="42"/>
      <c r="G37" s="42"/>
    </row>
    <row r="38" spans="1:7" x14ac:dyDescent="0.25">
      <c r="A38" s="1"/>
      <c r="B38" s="42"/>
      <c r="C38" s="42"/>
      <c r="D38" s="42"/>
      <c r="E38" s="42"/>
      <c r="F38" s="42"/>
      <c r="G38" s="42"/>
    </row>
    <row r="39" spans="1:7" ht="15" customHeight="1" x14ac:dyDescent="0.25">
      <c r="A39" s="1" t="s">
        <v>77</v>
      </c>
      <c r="B39" s="40" t="s">
        <v>96</v>
      </c>
      <c r="C39" s="40" t="s">
        <v>99</v>
      </c>
      <c r="D39" s="42"/>
      <c r="E39" s="42"/>
      <c r="F39" s="42"/>
      <c r="G39" s="42"/>
    </row>
    <row r="40" spans="1:7" x14ac:dyDescent="0.25">
      <c r="A40" s="1"/>
      <c r="B40" s="42"/>
      <c r="C40" s="42"/>
      <c r="D40" s="42"/>
      <c r="E40" s="42"/>
      <c r="F40" s="42"/>
      <c r="G40" s="42"/>
    </row>
    <row r="41" spans="1:7" x14ac:dyDescent="0.25">
      <c r="A41" s="1"/>
      <c r="B41" s="42"/>
      <c r="C41" s="42"/>
      <c r="D41" s="42"/>
      <c r="E41" s="42"/>
      <c r="F41" s="42"/>
      <c r="G41" s="42"/>
    </row>
    <row r="42" spans="1:7" ht="15" customHeight="1" x14ac:dyDescent="0.25">
      <c r="A42" s="1" t="s">
        <v>78</v>
      </c>
      <c r="B42" s="40" t="s">
        <v>102</v>
      </c>
      <c r="C42" s="40" t="s">
        <v>98</v>
      </c>
      <c r="D42" s="40" t="s">
        <v>82</v>
      </c>
      <c r="E42" s="40" t="s">
        <v>103</v>
      </c>
      <c r="F42" s="42"/>
      <c r="G42" s="42"/>
    </row>
    <row r="43" spans="1:7" x14ac:dyDescent="0.25">
      <c r="A43" s="1"/>
      <c r="B43" s="42"/>
      <c r="C43" s="42"/>
      <c r="D43" s="42"/>
      <c r="E43" s="42"/>
      <c r="F43" s="42"/>
      <c r="G43" s="42"/>
    </row>
    <row r="44" spans="1:7" x14ac:dyDescent="0.25">
      <c r="A44" s="1"/>
      <c r="B44" s="42"/>
      <c r="C44" s="42"/>
      <c r="D44" s="42"/>
      <c r="E44" s="42"/>
      <c r="F44" s="42"/>
      <c r="G44" s="42"/>
    </row>
    <row r="45" spans="1:7" ht="15" customHeight="1" x14ac:dyDescent="0.25">
      <c r="A45" s="1" t="s">
        <v>79</v>
      </c>
      <c r="B45" s="40" t="s">
        <v>96</v>
      </c>
      <c r="C45" s="40" t="s">
        <v>88</v>
      </c>
      <c r="D45" s="40" t="s">
        <v>91</v>
      </c>
      <c r="E45" s="42"/>
      <c r="F45" s="42"/>
      <c r="G45" s="42"/>
    </row>
    <row r="46" spans="1:7" x14ac:dyDescent="0.25">
      <c r="A46" s="1"/>
      <c r="B46" s="42"/>
      <c r="C46" s="42"/>
      <c r="D46" s="42"/>
      <c r="E46" s="42"/>
      <c r="F46" s="42"/>
      <c r="G46" s="42"/>
    </row>
    <row r="47" spans="1:7" x14ac:dyDescent="0.25">
      <c r="A47" s="1"/>
      <c r="B47" s="42"/>
      <c r="C47" s="42"/>
      <c r="D47" s="42"/>
      <c r="E47" s="42"/>
      <c r="F47" s="42"/>
      <c r="G47" s="42"/>
    </row>
    <row r="48" spans="1:7" ht="15" customHeight="1" x14ac:dyDescent="0.25">
      <c r="A48" s="1" t="s">
        <v>80</v>
      </c>
      <c r="B48" s="40" t="s">
        <v>99</v>
      </c>
      <c r="C48" s="42"/>
      <c r="D48" s="42"/>
      <c r="E48" s="42"/>
      <c r="F48" s="42"/>
      <c r="G48" s="42"/>
    </row>
    <row r="49" spans="1:7" x14ac:dyDescent="0.25">
      <c r="A49" s="1"/>
      <c r="B49" s="42"/>
      <c r="C49" s="42"/>
      <c r="D49" s="42"/>
      <c r="E49" s="42"/>
      <c r="F49" s="42"/>
      <c r="G49" s="42"/>
    </row>
    <row r="50" spans="1:7" x14ac:dyDescent="0.25">
      <c r="A50" s="1"/>
      <c r="B50" s="42"/>
      <c r="C50" s="42"/>
      <c r="D50" s="42"/>
      <c r="E50" s="42"/>
      <c r="F50" s="42"/>
      <c r="G50" s="42"/>
    </row>
    <row r="51" spans="1:7" x14ac:dyDescent="0.25">
      <c r="A51" s="7" t="s">
        <v>104</v>
      </c>
      <c r="B51" s="7"/>
      <c r="C51" s="7"/>
      <c r="D51" s="7"/>
      <c r="E51" s="7"/>
      <c r="F51" s="7"/>
      <c r="G51" s="7"/>
    </row>
    <row r="52" spans="1:7" ht="15" customHeight="1" x14ac:dyDescent="0.25">
      <c r="A52" s="1" t="s">
        <v>76</v>
      </c>
      <c r="B52" s="40" t="s">
        <v>96</v>
      </c>
      <c r="C52" s="40" t="s">
        <v>105</v>
      </c>
      <c r="D52" s="42"/>
      <c r="E52" s="42"/>
      <c r="F52" s="42"/>
      <c r="G52" s="42"/>
    </row>
    <row r="53" spans="1:7" x14ac:dyDescent="0.25">
      <c r="A53" s="1"/>
      <c r="B53" s="42"/>
      <c r="C53" s="42"/>
      <c r="D53" s="42"/>
      <c r="E53" s="42"/>
      <c r="F53" s="42"/>
      <c r="G53" s="42"/>
    </row>
    <row r="54" spans="1:7" x14ac:dyDescent="0.25">
      <c r="A54" s="1"/>
      <c r="B54" s="42"/>
      <c r="C54" s="42"/>
      <c r="D54" s="42"/>
      <c r="E54" s="42"/>
      <c r="F54" s="42"/>
      <c r="G54" s="42"/>
    </row>
    <row r="55" spans="1:7" ht="15" customHeight="1" x14ac:dyDescent="0.25">
      <c r="A55" s="1" t="s">
        <v>77</v>
      </c>
      <c r="B55" s="42"/>
      <c r="C55" s="42"/>
      <c r="D55" s="42"/>
      <c r="E55" s="42"/>
      <c r="F55" s="42"/>
      <c r="G55" s="42"/>
    </row>
    <row r="56" spans="1:7" x14ac:dyDescent="0.25">
      <c r="A56" s="1"/>
      <c r="B56" s="42"/>
      <c r="C56" s="42"/>
      <c r="D56" s="42"/>
      <c r="E56" s="42"/>
      <c r="F56" s="42"/>
      <c r="G56" s="42"/>
    </row>
    <row r="57" spans="1:7" x14ac:dyDescent="0.25">
      <c r="A57" s="1"/>
      <c r="B57" s="42"/>
      <c r="C57" s="42"/>
      <c r="D57" s="42"/>
      <c r="E57" s="42"/>
      <c r="F57" s="42"/>
      <c r="G57" s="42"/>
    </row>
    <row r="58" spans="1:7" ht="15" customHeight="1" x14ac:dyDescent="0.25">
      <c r="A58" s="1" t="s">
        <v>78</v>
      </c>
      <c r="B58" s="42"/>
      <c r="C58" s="42"/>
      <c r="D58" s="42"/>
      <c r="E58" s="42"/>
      <c r="F58" s="42"/>
      <c r="G58" s="42"/>
    </row>
    <row r="59" spans="1:7" x14ac:dyDescent="0.25">
      <c r="A59" s="1"/>
      <c r="B59" s="42"/>
      <c r="C59" s="42"/>
      <c r="D59" s="42"/>
      <c r="E59" s="42"/>
      <c r="F59" s="42"/>
      <c r="G59" s="42"/>
    </row>
    <row r="60" spans="1:7" x14ac:dyDescent="0.25">
      <c r="A60" s="1"/>
      <c r="B60" s="42"/>
      <c r="C60" s="42"/>
      <c r="D60" s="42"/>
      <c r="E60" s="42"/>
      <c r="F60" s="42"/>
      <c r="G60" s="42"/>
    </row>
    <row r="61" spans="1:7" ht="15" customHeight="1" x14ac:dyDescent="0.25">
      <c r="A61" s="1" t="s">
        <v>79</v>
      </c>
      <c r="B61" s="42"/>
      <c r="C61" s="42"/>
      <c r="D61" s="42"/>
      <c r="E61" s="42"/>
      <c r="F61" s="42"/>
      <c r="G61" s="42"/>
    </row>
    <row r="62" spans="1:7" x14ac:dyDescent="0.25">
      <c r="A62" s="1"/>
      <c r="B62" s="42"/>
      <c r="C62" s="42"/>
      <c r="D62" s="42"/>
      <c r="E62" s="42"/>
      <c r="F62" s="42"/>
      <c r="G62" s="42"/>
    </row>
    <row r="63" spans="1:7" x14ac:dyDescent="0.25">
      <c r="A63" s="1"/>
      <c r="B63" s="42"/>
      <c r="C63" s="42"/>
      <c r="D63" s="42"/>
      <c r="E63" s="42"/>
      <c r="F63" s="42"/>
      <c r="G63" s="42"/>
    </row>
    <row r="64" spans="1:7" ht="15" customHeight="1" x14ac:dyDescent="0.25">
      <c r="A64" s="1" t="s">
        <v>80</v>
      </c>
      <c r="B64" s="42" t="s">
        <v>96</v>
      </c>
      <c r="C64" s="42" t="s">
        <v>90</v>
      </c>
      <c r="D64" s="42" t="s">
        <v>94</v>
      </c>
      <c r="E64" s="42" t="s">
        <v>83</v>
      </c>
      <c r="F64" s="42" t="s">
        <v>98</v>
      </c>
      <c r="G64" s="42" t="s">
        <v>106</v>
      </c>
    </row>
    <row r="65" spans="1:7" x14ac:dyDescent="0.25">
      <c r="A65" s="1"/>
      <c r="B65" s="42" t="s">
        <v>95</v>
      </c>
      <c r="C65" s="42"/>
      <c r="D65" s="42"/>
      <c r="E65" s="42"/>
      <c r="F65" s="42"/>
      <c r="G65" s="42"/>
    </row>
    <row r="66" spans="1:7" x14ac:dyDescent="0.25">
      <c r="A66" s="1"/>
      <c r="B66" s="42"/>
      <c r="C66" s="42"/>
      <c r="D66" s="42"/>
      <c r="E66" s="42"/>
      <c r="F66" s="42"/>
      <c r="G66" s="42"/>
    </row>
  </sheetData>
  <mergeCells count="27">
    <mergeCell ref="A61:A63"/>
    <mergeCell ref="A64:A66"/>
    <mergeCell ref="A48:A50"/>
    <mergeCell ref="A51:G51"/>
    <mergeCell ref="A52:A54"/>
    <mergeCell ref="A55:A57"/>
    <mergeCell ref="A58:A60"/>
    <mergeCell ref="A35:G35"/>
    <mergeCell ref="A36:A38"/>
    <mergeCell ref="A39:A41"/>
    <mergeCell ref="A42:A44"/>
    <mergeCell ref="A45:A47"/>
    <mergeCell ref="A20:A22"/>
    <mergeCell ref="A23:A25"/>
    <mergeCell ref="A26:A28"/>
    <mergeCell ref="A29:A31"/>
    <mergeCell ref="A32:A34"/>
    <mergeCell ref="B5:G5"/>
    <mergeCell ref="A7:A10"/>
    <mergeCell ref="D7:E10"/>
    <mergeCell ref="A11:G11"/>
    <mergeCell ref="A18:G18"/>
    <mergeCell ref="A1:G1"/>
    <mergeCell ref="A2:G2"/>
    <mergeCell ref="B3:G3"/>
    <mergeCell ref="B4:C4"/>
    <mergeCell ref="E4:G4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showGridLines="0" zoomScale="85" zoomScaleNormal="85" workbookViewId="0">
      <selection activeCell="N18" sqref="N18"/>
    </sheetView>
  </sheetViews>
  <sheetFormatPr defaultColWidth="8.5703125" defaultRowHeight="15" x14ac:dyDescent="0.25"/>
  <sheetData>
    <row r="1" spans="1:2" x14ac:dyDescent="0.25">
      <c r="A1" s="43" t="s">
        <v>58</v>
      </c>
      <c r="B1" s="43" t="str">
        <f>score_sheet!B10</f>
        <v>TPA0221220260179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score_sheet</vt:lpstr>
      <vt:lpstr>Batch Analysis - Tabular</vt:lpstr>
      <vt:lpstr>Batch Analysis -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Ranu Chauhan (On Contract)</cp:lastModifiedBy>
  <cp:revision>9</cp:revision>
  <dcterms:created xsi:type="dcterms:W3CDTF">2015-05-01T13:34:33Z</dcterms:created>
  <dcterms:modified xsi:type="dcterms:W3CDTF">2026-08-20T04:57:18Z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