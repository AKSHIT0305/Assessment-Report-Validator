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\Desktop\"/>
    </mc:Choice>
  </mc:AlternateContent>
  <xr:revisionPtr revIDLastSave="0" documentId="13_ncr:1_{23AAB3FC-A40A-4B90-9BB8-DABC73E304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score_sheet!$A$13:$R$23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R15" i="1" s="1"/>
  <c r="Q15" i="1" s="1"/>
  <c r="P16" i="1"/>
  <c r="R16" i="1" s="1"/>
  <c r="Q16" i="1" s="1"/>
  <c r="P17" i="1"/>
  <c r="R17" i="1" s="1"/>
  <c r="Q17" i="1" s="1"/>
  <c r="P18" i="1"/>
  <c r="R18" i="1"/>
  <c r="P19" i="1"/>
  <c r="R19" i="1" s="1"/>
  <c r="Q19" i="1" s="1"/>
  <c r="P20" i="1"/>
  <c r="R20" i="1" s="1"/>
  <c r="Q20" i="1" s="1"/>
  <c r="P21" i="1"/>
  <c r="R21" i="1" s="1"/>
  <c r="Q21" i="1" s="1"/>
  <c r="P22" i="1"/>
  <c r="P23" i="1"/>
  <c r="R23" i="1"/>
  <c r="Q23" i="1" s="1"/>
  <c r="P14" i="1"/>
  <c r="O15" i="1"/>
  <c r="O16" i="1"/>
  <c r="O17" i="1"/>
  <c r="O18" i="1"/>
  <c r="O19" i="1"/>
  <c r="O20" i="1"/>
  <c r="O21" i="1"/>
  <c r="O22" i="1"/>
  <c r="O23" i="1"/>
  <c r="O14" i="1"/>
  <c r="M15" i="1"/>
  <c r="M16" i="1"/>
  <c r="M17" i="1"/>
  <c r="M18" i="1"/>
  <c r="M19" i="1"/>
  <c r="M20" i="1"/>
  <c r="M21" i="1"/>
  <c r="M22" i="1"/>
  <c r="M23" i="1"/>
  <c r="K15" i="1"/>
  <c r="K16" i="1"/>
  <c r="K17" i="1"/>
  <c r="K18" i="1"/>
  <c r="K19" i="1"/>
  <c r="K20" i="1"/>
  <c r="K21" i="1"/>
  <c r="K22" i="1"/>
  <c r="K23" i="1"/>
  <c r="I15" i="1"/>
  <c r="I16" i="1"/>
  <c r="I17" i="1"/>
  <c r="I18" i="1"/>
  <c r="I19" i="1"/>
  <c r="I20" i="1"/>
  <c r="I21" i="1"/>
  <c r="I22" i="1"/>
  <c r="I23" i="1"/>
  <c r="G15" i="1"/>
  <c r="G16" i="1"/>
  <c r="G17" i="1"/>
  <c r="G18" i="1"/>
  <c r="G19" i="1"/>
  <c r="G20" i="1"/>
  <c r="G21" i="1"/>
  <c r="G22" i="1"/>
  <c r="G23" i="1"/>
  <c r="M14" i="1"/>
  <c r="K14" i="1"/>
  <c r="I14" i="1"/>
  <c r="G14" i="1"/>
  <c r="R22" i="1" l="1"/>
  <c r="Q18" i="1"/>
  <c r="R14" i="1"/>
  <c r="Q14" i="1" s="1"/>
  <c r="G17" i="5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Q22" i="1" l="1"/>
  <c r="G10" i="5"/>
  <c r="G9" i="5"/>
  <c r="F10" i="5"/>
  <c r="F9" i="5"/>
  <c r="G8" i="5" l="1"/>
  <c r="G13" i="5" l="1"/>
  <c r="F13" i="5"/>
  <c r="E13" i="5"/>
  <c r="D13" i="5"/>
  <c r="C13" i="5"/>
  <c r="B6" i="5" l="1"/>
  <c r="B5" i="5"/>
  <c r="B4" i="5"/>
  <c r="B3" i="5"/>
  <c r="F8" i="5"/>
  <c r="C8" i="5" l="1"/>
  <c r="B1" i="6"/>
  <c r="C10" i="5" l="1"/>
  <c r="C9" i="5"/>
  <c r="B15" i="5" l="1"/>
  <c r="B17" i="5"/>
  <c r="B14" i="5"/>
  <c r="B16" i="5"/>
  <c r="B13" i="5"/>
</calcChain>
</file>

<file path=xl/sharedStrings.xml><?xml version="1.0" encoding="utf-8"?>
<sst xmlns="http://schemas.openxmlformats.org/spreadsheetml/2006/main" count="168" uniqueCount="105">
  <si>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</si>
  <si>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</si>
  <si>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</si>
  <si>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</si>
  <si>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</si>
  <si>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</si>
  <si>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</si>
  <si>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</si>
  <si>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</si>
  <si>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</si>
  <si>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</si>
  <si>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</si>
  <si>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</si>
  <si>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</si>
  <si>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</si>
  <si>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</si>
  <si>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</si>
  <si>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</si>
  <si>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</si>
  <si>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</si>
  <si>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</si>
  <si>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</si>
  <si>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</si>
  <si>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</si>
  <si>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</si>
  <si>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</si>
  <si>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</si>
  <si>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</si>
  <si>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</si>
  <si>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</si>
  <si>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</si>
  <si>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</si>
  <si>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</si>
  <si>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</si>
  <si>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</si>
  <si>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</si>
  <si>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</si>
  <si>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</si>
  <si>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</si>
  <si>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</si>
  <si>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</si>
  <si>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NA</t>
  </si>
  <si>
    <t>Assessor Name/AR ID</t>
  </si>
  <si>
    <t>Digital Mitra</t>
  </si>
  <si>
    <t>SSC/Q2212</t>
  </si>
  <si>
    <t>SSC/N2204 - Score</t>
  </si>
  <si>
    <t>SSC/N2205 -Score</t>
  </si>
  <si>
    <t>SSC/N2206 - Score</t>
  </si>
  <si>
    <t>SSC/N2207 - Score</t>
  </si>
  <si>
    <t>DGT/VSQ/N0101 -Score</t>
  </si>
  <si>
    <t>SSC/N2204</t>
  </si>
  <si>
    <t>SSC/N2205</t>
  </si>
  <si>
    <t>SSC/N2206</t>
  </si>
  <si>
    <t>SSC/N2207</t>
  </si>
  <si>
    <t>DGT/VSQ/N0101</t>
  </si>
  <si>
    <t>PMKVY-4.0-CSCM STT</t>
  </si>
  <si>
    <t>DISTRICT PROJECT LIVELIHOOD COLLEGE SOCIETY DISTRICT BASTAR</t>
  </si>
  <si>
    <t>Chhattisgarh</t>
  </si>
  <si>
    <t>Bastar</t>
  </si>
  <si>
    <t>AR177644 &amp; Chitranjan kumar</t>
  </si>
  <si>
    <t>Devaki Kashyap</t>
  </si>
  <si>
    <t>Chandramani Mourya</t>
  </si>
  <si>
    <t>Malati Baghel</t>
  </si>
  <si>
    <t>Shakuntala</t>
  </si>
  <si>
    <t>Karishma Baghel</t>
  </si>
  <si>
    <t>Jayanti Bharti</t>
  </si>
  <si>
    <t>Gita Bharti</t>
  </si>
  <si>
    <t>Surjokanti Kashyap</t>
  </si>
  <si>
    <t>Janki Baghel</t>
  </si>
  <si>
    <t>Aashin Parvin</t>
  </si>
  <si>
    <t>CAN_39892280</t>
  </si>
  <si>
    <t>CAN_39869864</t>
  </si>
  <si>
    <t>CAN_39854832</t>
  </si>
  <si>
    <t>CAN_39853770</t>
  </si>
  <si>
    <t>CAN_39853627</t>
  </si>
  <si>
    <t>CAN_39842761</t>
  </si>
  <si>
    <t>CAN_39842678</t>
  </si>
  <si>
    <t>CAN_39842326</t>
  </si>
  <si>
    <t>CAN_39842147</t>
  </si>
  <si>
    <t>CAN_34479472</t>
  </si>
  <si>
    <t>F</t>
  </si>
  <si>
    <t>-</t>
  </si>
  <si>
    <t>PC14</t>
  </si>
  <si>
    <t>PC20</t>
  </si>
  <si>
    <t>PC23</t>
  </si>
  <si>
    <t>PC27</t>
  </si>
  <si>
    <t>PC18</t>
  </si>
  <si>
    <t>PC7</t>
  </si>
  <si>
    <t>PC19</t>
  </si>
  <si>
    <t>PC24</t>
  </si>
  <si>
    <t>PC1</t>
  </si>
  <si>
    <t>PC6</t>
  </si>
  <si>
    <t>PC10</t>
  </si>
  <si>
    <t>PC15</t>
  </si>
  <si>
    <t>PC4</t>
  </si>
  <si>
    <t>PC3</t>
  </si>
  <si>
    <t>PC11</t>
  </si>
  <si>
    <t>PC16</t>
  </si>
  <si>
    <t>PC22</t>
  </si>
  <si>
    <t>PC2</t>
  </si>
  <si>
    <t>PC5</t>
  </si>
  <si>
    <t>PC8</t>
  </si>
  <si>
    <t>PC12</t>
  </si>
  <si>
    <t>PC21</t>
  </si>
  <si>
    <t>PC9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</si>
</sst>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945024"/>
        <c:axId val="200950912"/>
      </c:barChart>
      <c:catAx>
        <c:axId val="200945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950912"/>
        <c:crosses val="autoZero"/>
        <c:auto val="1"/>
        <c:lblAlgn val="ctr"/>
        <c:lblOffset val="100"/>
        <c:noMultiLvlLbl val="0"/>
      </c:catAx>
      <c:valAx>
        <c:axId val="200950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33.333333333333329</c:v>
                </c:pt>
                <c:pt idx="1">
                  <c:v>33.333333333333329</c:v>
                </c:pt>
                <c:pt idx="2">
                  <c:v>33.333333333333329</c:v>
                </c:pt>
                <c:pt idx="3">
                  <c:v>33.333333333333329</c:v>
                </c:pt>
                <c:pt idx="4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39.86</c:v>
                </c:pt>
                <c:pt idx="1">
                  <c:v>35.61</c:v>
                </c:pt>
                <c:pt idx="2">
                  <c:v>40.180000000000007</c:v>
                </c:pt>
                <c:pt idx="3">
                  <c:v>40.949999999999996</c:v>
                </c:pt>
                <c:pt idx="4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74</c:v>
                </c:pt>
                <c:pt idx="1">
                  <c:v>70.099999999999994</c:v>
                </c:pt>
                <c:pt idx="2">
                  <c:v>71.400000000000006</c:v>
                </c:pt>
                <c:pt idx="3">
                  <c:v>75.3</c:v>
                </c:pt>
                <c:pt idx="4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41.2</c:v>
                </c:pt>
                <c:pt idx="1">
                  <c:v>38</c:v>
                </c:pt>
                <c:pt idx="2">
                  <c:v>40.450000000000003</c:v>
                </c:pt>
                <c:pt idx="3">
                  <c:v>38.349999999999994</c:v>
                </c:pt>
                <c:pt idx="4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24.499436728218861</c:v>
                </c:pt>
                <c:pt idx="1">
                  <c:v>19.758565231311707</c:v>
                </c:pt>
                <c:pt idx="2">
                  <c:v>20.564474221336162</c:v>
                </c:pt>
                <c:pt idx="3">
                  <c:v>21.301889587545993</c:v>
                </c:pt>
                <c:pt idx="4">
                  <c:v>8.0597766718439541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39488"/>
        <c:axId val="201449472"/>
      </c:barChart>
      <c:catAx>
        <c:axId val="201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472"/>
        <c:crosses val="autoZero"/>
        <c:auto val="1"/>
        <c:lblAlgn val="ctr"/>
        <c:lblOffset val="100"/>
        <c:noMultiLvlLbl val="0"/>
      </c:catAx>
      <c:valAx>
        <c:axId val="2014494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10112"/>
        <c:axId val="201216000"/>
      </c:barChart>
      <c:catAx>
        <c:axId val="2012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6000"/>
        <c:crosses val="autoZero"/>
        <c:auto val="1"/>
        <c:lblAlgn val="ctr"/>
        <c:lblOffset val="100"/>
        <c:noMultiLvlLbl val="0"/>
      </c:catAx>
      <c:valAx>
        <c:axId val="2012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showGridLines="0" tabSelected="1" zoomScale="97" zoomScaleNormal="85" workbookViewId="0">
      <selection activeCell="G7" sqref="G7"/>
    </sheetView>
  </sheetViews>
  <sheetFormatPr defaultColWidth="9.1796875" defaultRowHeight="14.5" x14ac:dyDescent="0.35"/>
  <cols>
    <col min="1" max="1" width="33.1796875" bestFit="1" customWidth="1"/>
    <col min="2" max="2" width="31.54296875" customWidth="1"/>
    <col min="3" max="3" width="18" customWidth="1"/>
    <col min="4" max="4" width="10.81640625" bestFit="1" customWidth="1"/>
    <col min="5" max="5" width="16.26953125" bestFit="1" customWidth="1"/>
    <col min="6" max="6" width="13.81640625" customWidth="1"/>
    <col min="7" max="7" width="12.1796875" bestFit="1" customWidth="1"/>
    <col min="8" max="8" width="11.7265625" customWidth="1"/>
    <col min="9" max="9" width="12.1796875" bestFit="1" customWidth="1"/>
    <col min="10" max="10" width="12.7265625" customWidth="1"/>
    <col min="11" max="11" width="12.1796875" bestFit="1" customWidth="1"/>
    <col min="12" max="12" width="12.453125" customWidth="1"/>
    <col min="13" max="13" width="12.1796875" bestFit="1" customWidth="1"/>
    <col min="14" max="14" width="11.54296875" customWidth="1"/>
    <col min="15" max="15" width="12.1796875" bestFit="1" customWidth="1"/>
    <col min="16" max="16" width="13.26953125" customWidth="1"/>
    <col min="17" max="17" width="15.81640625" bestFit="1" customWidth="1"/>
    <col min="18" max="18" width="12.453125" bestFit="1" customWidth="1"/>
  </cols>
  <sheetData>
    <row r="1" spans="1:18" x14ac:dyDescent="0.35">
      <c r="A1" s="24" t="s">
        <v>0</v>
      </c>
      <c r="B1" s="24" t="s">
        <v>40</v>
      </c>
    </row>
    <row r="2" spans="1:18" ht="29" x14ac:dyDescent="0.35">
      <c r="A2" s="24" t="s">
        <v>1</v>
      </c>
      <c r="B2" s="25" t="s">
        <v>56</v>
      </c>
    </row>
    <row r="3" spans="1:18" x14ac:dyDescent="0.35">
      <c r="A3" s="24" t="s">
        <v>2</v>
      </c>
      <c r="B3" s="25" t="s">
        <v>43</v>
      </c>
    </row>
    <row r="4" spans="1:18" x14ac:dyDescent="0.35">
      <c r="A4" s="24" t="s">
        <v>34</v>
      </c>
      <c r="B4" s="24" t="s">
        <v>44</v>
      </c>
    </row>
    <row r="5" spans="1:18" x14ac:dyDescent="0.35">
      <c r="A5" s="24" t="s">
        <v>42</v>
      </c>
      <c r="B5" s="24" t="s">
        <v>59</v>
      </c>
    </row>
    <row r="6" spans="1:18" x14ac:dyDescent="0.35">
      <c r="A6" s="24" t="s">
        <v>35</v>
      </c>
      <c r="B6" s="24" t="s">
        <v>55</v>
      </c>
    </row>
    <row r="7" spans="1:18" x14ac:dyDescent="0.35">
      <c r="A7" s="24" t="s">
        <v>3</v>
      </c>
      <c r="B7" s="24" t="s">
        <v>57</v>
      </c>
    </row>
    <row r="8" spans="1:18" x14ac:dyDescent="0.35">
      <c r="A8" s="24" t="s">
        <v>4</v>
      </c>
      <c r="B8" s="24" t="s">
        <v>58</v>
      </c>
    </row>
    <row r="9" spans="1:18" x14ac:dyDescent="0.35">
      <c r="A9" s="24" t="s">
        <v>36</v>
      </c>
      <c r="B9" s="24" t="s">
        <v>41</v>
      </c>
    </row>
    <row r="10" spans="1:18" x14ac:dyDescent="0.35">
      <c r="A10" s="24" t="s">
        <v>5</v>
      </c>
      <c r="B10" s="24">
        <v>3720786</v>
      </c>
    </row>
    <row r="11" spans="1:18" x14ac:dyDescent="0.35">
      <c r="A11" s="26"/>
      <c r="B11" s="26"/>
    </row>
    <row r="13" spans="1:18" ht="29" x14ac:dyDescent="0.35">
      <c r="A13" s="27" t="s">
        <v>5</v>
      </c>
      <c r="B13" s="27" t="s">
        <v>6</v>
      </c>
      <c r="C13" s="27" t="s">
        <v>8</v>
      </c>
      <c r="D13" s="27" t="s">
        <v>28</v>
      </c>
      <c r="E13" s="27" t="s">
        <v>7</v>
      </c>
      <c r="F13" s="28" t="s">
        <v>45</v>
      </c>
      <c r="G13" s="28" t="s">
        <v>29</v>
      </c>
      <c r="H13" s="28" t="s">
        <v>46</v>
      </c>
      <c r="I13" s="28" t="s">
        <v>29</v>
      </c>
      <c r="J13" s="28" t="s">
        <v>47</v>
      </c>
      <c r="K13" s="28" t="s">
        <v>29</v>
      </c>
      <c r="L13" s="28" t="s">
        <v>48</v>
      </c>
      <c r="M13" s="28" t="s">
        <v>29</v>
      </c>
      <c r="N13" s="28" t="s">
        <v>49</v>
      </c>
      <c r="O13" s="28" t="s">
        <v>29</v>
      </c>
      <c r="P13" s="28" t="s">
        <v>16</v>
      </c>
      <c r="Q13" s="28" t="s">
        <v>30</v>
      </c>
      <c r="R13" s="28" t="s">
        <v>24</v>
      </c>
    </row>
    <row r="14" spans="1:18" x14ac:dyDescent="0.35">
      <c r="A14" s="29">
        <v>3720786</v>
      </c>
      <c r="B14" s="30" t="s">
        <v>60</v>
      </c>
      <c r="C14" s="30" t="s">
        <v>70</v>
      </c>
      <c r="D14" s="30" t="s">
        <v>80</v>
      </c>
      <c r="E14" s="31">
        <v>46192</v>
      </c>
      <c r="F14" s="30">
        <v>74</v>
      </c>
      <c r="G14" s="24" t="str">
        <f>IF(F14&gt;=50,"PASS",IF(F14&gt;0,"FAIL", "ABSENT"))</f>
        <v>PASS</v>
      </c>
      <c r="H14" s="30">
        <v>43.3</v>
      </c>
      <c r="I14" s="24" t="str">
        <f>IF(H14&gt;=50,"PASS",IF(H14&gt;0,"FAIL", "ABSENT"))</f>
        <v>FAIL</v>
      </c>
      <c r="J14" s="30">
        <v>71.400000000000006</v>
      </c>
      <c r="K14" s="24" t="str">
        <f>IF(J14&gt;=50,"PASS",IF(J14&gt;0,"FAIL", "ABSENT"))</f>
        <v>PASS</v>
      </c>
      <c r="L14" s="30">
        <v>75.3</v>
      </c>
      <c r="M14" s="24" t="str">
        <f>IF(L14&gt;=50,"PASS",IF(L14&gt;0,"FAIL", "ABSENT"))</f>
        <v>PASS</v>
      </c>
      <c r="N14" s="30">
        <v>17</v>
      </c>
      <c r="O14" s="24" t="str">
        <f>IF(N14&gt;=25,"PASS",IF(N14&gt;0,"FAIL", "ABSENT"))</f>
        <v>FAIL</v>
      </c>
      <c r="P14" s="29">
        <f>F14+H14+J14+L14+N14</f>
        <v>281</v>
      </c>
      <c r="Q14" s="24" t="str">
        <f>IF(R14&gt;=50,"PASS",IF(R14&gt;0,"FAIL","ABSENT"))</f>
        <v>PASS</v>
      </c>
      <c r="R14" s="32">
        <f>P14/450*100</f>
        <v>62.44444444444445</v>
      </c>
    </row>
    <row r="15" spans="1:18" x14ac:dyDescent="0.35">
      <c r="A15" s="29">
        <v>3720786</v>
      </c>
      <c r="B15" s="30" t="s">
        <v>61</v>
      </c>
      <c r="C15" s="30" t="s">
        <v>71</v>
      </c>
      <c r="D15" s="30" t="s">
        <v>80</v>
      </c>
      <c r="E15" s="31">
        <v>46192</v>
      </c>
      <c r="F15" s="30">
        <v>65.400000000000006</v>
      </c>
      <c r="G15" s="24" t="str">
        <f t="shared" ref="G15:G23" si="0">IF(F15&gt;=50,"PASS",IF(F15&gt;0,"FAIL", "ABSENT"))</f>
        <v>PASS</v>
      </c>
      <c r="H15" s="30">
        <v>58.9</v>
      </c>
      <c r="I15" s="24" t="str">
        <f t="shared" ref="I15:I23" si="1">IF(H15&gt;=50,"PASS",IF(H15&gt;0,"FAIL", "ABSENT"))</f>
        <v>PASS</v>
      </c>
      <c r="J15" s="30">
        <v>69.099999999999994</v>
      </c>
      <c r="K15" s="24" t="str">
        <f t="shared" ref="K15:K23" si="2">IF(J15&gt;=50,"PASS",IF(J15&gt;0,"FAIL", "ABSENT"))</f>
        <v>PASS</v>
      </c>
      <c r="L15" s="30">
        <v>66.099999999999994</v>
      </c>
      <c r="M15" s="24" t="str">
        <f t="shared" ref="M15:M23" si="3">IF(L15&gt;=50,"PASS",IF(L15&gt;0,"FAIL", "ABSENT"))</f>
        <v>PASS</v>
      </c>
      <c r="N15" s="30">
        <v>14</v>
      </c>
      <c r="O15" s="24" t="str">
        <f t="shared" ref="O15:O23" si="4">IF(N15&gt;=25,"PASS",IF(N15&gt;0,"FAIL", "ABSENT"))</f>
        <v>FAIL</v>
      </c>
      <c r="P15" s="29">
        <f t="shared" ref="P15:P23" si="5">F15+H15+J15+L15+N15</f>
        <v>273.5</v>
      </c>
      <c r="Q15" s="24" t="str">
        <f t="shared" ref="Q15:Q23" si="6">IF(R15&gt;=50,"PASS",IF(R15&gt;0,"FAIL","ABSENT"))</f>
        <v>PASS</v>
      </c>
      <c r="R15" s="32">
        <f t="shared" ref="R15:R23" si="7">P15/450*100</f>
        <v>60.777777777777771</v>
      </c>
    </row>
    <row r="16" spans="1:18" x14ac:dyDescent="0.35">
      <c r="A16" s="29">
        <v>3720786</v>
      </c>
      <c r="B16" s="30" t="s">
        <v>62</v>
      </c>
      <c r="C16" s="30" t="s">
        <v>72</v>
      </c>
      <c r="D16" s="30" t="s">
        <v>80</v>
      </c>
      <c r="E16" s="31">
        <v>46192</v>
      </c>
      <c r="F16" s="30">
        <v>13.4</v>
      </c>
      <c r="G16" s="24" t="str">
        <f t="shared" si="0"/>
        <v>FAIL</v>
      </c>
      <c r="H16" s="30">
        <v>26.7</v>
      </c>
      <c r="I16" s="24" t="str">
        <f t="shared" si="1"/>
        <v>FAIL</v>
      </c>
      <c r="J16" s="30">
        <v>39.799999999999997</v>
      </c>
      <c r="K16" s="24" t="str">
        <f t="shared" si="2"/>
        <v>FAIL</v>
      </c>
      <c r="L16" s="30">
        <v>32.700000000000003</v>
      </c>
      <c r="M16" s="24" t="str">
        <f t="shared" si="3"/>
        <v>FAIL</v>
      </c>
      <c r="N16" s="30">
        <v>16</v>
      </c>
      <c r="O16" s="24" t="str">
        <f t="shared" si="4"/>
        <v>FAIL</v>
      </c>
      <c r="P16" s="29">
        <f t="shared" si="5"/>
        <v>128.60000000000002</v>
      </c>
      <c r="Q16" s="24" t="str">
        <f t="shared" si="6"/>
        <v>FAIL</v>
      </c>
      <c r="R16" s="32">
        <f t="shared" si="7"/>
        <v>28.577777777777786</v>
      </c>
    </row>
    <row r="17" spans="1:18" x14ac:dyDescent="0.35">
      <c r="A17" s="29">
        <v>3720786</v>
      </c>
      <c r="B17" s="30" t="s">
        <v>63</v>
      </c>
      <c r="C17" s="30" t="s">
        <v>73</v>
      </c>
      <c r="D17" s="30" t="s">
        <v>80</v>
      </c>
      <c r="E17" s="31">
        <v>46192</v>
      </c>
      <c r="F17" s="30">
        <v>51.9</v>
      </c>
      <c r="G17" s="24" t="str">
        <f t="shared" si="0"/>
        <v>PASS</v>
      </c>
      <c r="H17" s="30">
        <v>25.7</v>
      </c>
      <c r="I17" s="24" t="str">
        <f t="shared" si="1"/>
        <v>FAIL</v>
      </c>
      <c r="J17" s="30">
        <v>28.5</v>
      </c>
      <c r="K17" s="24" t="str">
        <f t="shared" si="2"/>
        <v>FAIL</v>
      </c>
      <c r="L17" s="30">
        <v>25.6</v>
      </c>
      <c r="M17" s="24" t="str">
        <f t="shared" si="3"/>
        <v>FAIL</v>
      </c>
      <c r="N17" s="30">
        <v>13</v>
      </c>
      <c r="O17" s="24" t="str">
        <f t="shared" si="4"/>
        <v>FAIL</v>
      </c>
      <c r="P17" s="29">
        <f t="shared" si="5"/>
        <v>144.69999999999999</v>
      </c>
      <c r="Q17" s="24" t="str">
        <f t="shared" si="6"/>
        <v>FAIL</v>
      </c>
      <c r="R17" s="32">
        <f t="shared" si="7"/>
        <v>32.155555555555551</v>
      </c>
    </row>
    <row r="18" spans="1:18" x14ac:dyDescent="0.35">
      <c r="A18" s="29">
        <v>3720786</v>
      </c>
      <c r="B18" s="30" t="s">
        <v>64</v>
      </c>
      <c r="C18" s="30" t="s">
        <v>74</v>
      </c>
      <c r="D18" s="30" t="s">
        <v>80</v>
      </c>
      <c r="E18" s="31">
        <v>46192</v>
      </c>
      <c r="F18" s="30">
        <v>22.2</v>
      </c>
      <c r="G18" s="24" t="str">
        <f t="shared" si="0"/>
        <v>FAIL</v>
      </c>
      <c r="H18" s="30">
        <v>39.700000000000003</v>
      </c>
      <c r="I18" s="24" t="str">
        <f t="shared" si="1"/>
        <v>FAIL</v>
      </c>
      <c r="J18" s="30">
        <v>21.8</v>
      </c>
      <c r="K18" s="24" t="str">
        <f t="shared" si="2"/>
        <v>FAIL</v>
      </c>
      <c r="L18" s="30">
        <v>44.6</v>
      </c>
      <c r="M18" s="24" t="str">
        <f t="shared" si="3"/>
        <v>FAIL</v>
      </c>
      <c r="N18" s="30">
        <v>17</v>
      </c>
      <c r="O18" s="24" t="str">
        <f t="shared" si="4"/>
        <v>FAIL</v>
      </c>
      <c r="P18" s="29">
        <f t="shared" si="5"/>
        <v>145.30000000000001</v>
      </c>
      <c r="Q18" s="24" t="str">
        <f t="shared" si="6"/>
        <v>FAIL</v>
      </c>
      <c r="R18" s="32">
        <f t="shared" si="7"/>
        <v>32.288888888888891</v>
      </c>
    </row>
    <row r="19" spans="1:18" x14ac:dyDescent="0.35">
      <c r="A19" s="29">
        <v>3720786</v>
      </c>
      <c r="B19" s="30" t="s">
        <v>65</v>
      </c>
      <c r="C19" s="30" t="s">
        <v>75</v>
      </c>
      <c r="D19" s="30" t="s">
        <v>80</v>
      </c>
      <c r="E19" s="31">
        <v>46192</v>
      </c>
      <c r="F19" s="30">
        <v>36.6</v>
      </c>
      <c r="G19" s="24" t="str">
        <f t="shared" si="0"/>
        <v>FAIL</v>
      </c>
      <c r="H19" s="30">
        <v>11.5</v>
      </c>
      <c r="I19" s="24" t="str">
        <f t="shared" si="1"/>
        <v>FAIL</v>
      </c>
      <c r="J19" s="30">
        <v>49.7</v>
      </c>
      <c r="K19" s="24" t="str">
        <f t="shared" si="2"/>
        <v>FAIL</v>
      </c>
      <c r="L19" s="30">
        <v>38.799999999999997</v>
      </c>
      <c r="M19" s="24" t="str">
        <f t="shared" si="3"/>
        <v>FAIL</v>
      </c>
      <c r="N19" s="30">
        <v>14</v>
      </c>
      <c r="O19" s="24" t="str">
        <f t="shared" si="4"/>
        <v>FAIL</v>
      </c>
      <c r="P19" s="29">
        <f t="shared" si="5"/>
        <v>150.60000000000002</v>
      </c>
      <c r="Q19" s="24" t="str">
        <f t="shared" si="6"/>
        <v>FAIL</v>
      </c>
      <c r="R19" s="32">
        <f t="shared" si="7"/>
        <v>33.466666666666676</v>
      </c>
    </row>
    <row r="20" spans="1:18" x14ac:dyDescent="0.35">
      <c r="A20" s="29">
        <v>3720786</v>
      </c>
      <c r="B20" s="30" t="s">
        <v>66</v>
      </c>
      <c r="C20" s="30" t="s">
        <v>76</v>
      </c>
      <c r="D20" s="30" t="s">
        <v>80</v>
      </c>
      <c r="E20" s="31">
        <v>46192</v>
      </c>
      <c r="F20" s="30">
        <v>70.599999999999994</v>
      </c>
      <c r="G20" s="24" t="str">
        <f t="shared" si="0"/>
        <v>PASS</v>
      </c>
      <c r="H20" s="30">
        <v>70.099999999999994</v>
      </c>
      <c r="I20" s="24" t="str">
        <f t="shared" si="1"/>
        <v>PASS</v>
      </c>
      <c r="J20" s="30">
        <v>51.1</v>
      </c>
      <c r="K20" s="24" t="str">
        <f t="shared" si="2"/>
        <v>PASS</v>
      </c>
      <c r="L20" s="30">
        <v>62.9</v>
      </c>
      <c r="M20" s="24" t="str">
        <f t="shared" si="3"/>
        <v>PASS</v>
      </c>
      <c r="N20" s="30">
        <v>31</v>
      </c>
      <c r="O20" s="24" t="str">
        <f t="shared" si="4"/>
        <v>PASS</v>
      </c>
      <c r="P20" s="29">
        <f t="shared" si="5"/>
        <v>285.7</v>
      </c>
      <c r="Q20" s="24" t="str">
        <f t="shared" si="6"/>
        <v>PASS</v>
      </c>
      <c r="R20" s="32">
        <f t="shared" si="7"/>
        <v>63.48888888888888</v>
      </c>
    </row>
    <row r="21" spans="1:18" x14ac:dyDescent="0.35">
      <c r="A21" s="29">
        <v>3720786</v>
      </c>
      <c r="B21" s="30" t="s">
        <v>67</v>
      </c>
      <c r="C21" s="30" t="s">
        <v>77</v>
      </c>
      <c r="D21" s="30" t="s">
        <v>80</v>
      </c>
      <c r="E21" s="31">
        <v>46192</v>
      </c>
      <c r="F21" s="30">
        <v>18.7</v>
      </c>
      <c r="G21" s="24" t="str">
        <f t="shared" si="0"/>
        <v>FAIL</v>
      </c>
      <c r="H21" s="30">
        <v>43.9</v>
      </c>
      <c r="I21" s="24" t="str">
        <f t="shared" si="1"/>
        <v>FAIL</v>
      </c>
      <c r="J21" s="30">
        <v>41.1</v>
      </c>
      <c r="K21" s="24" t="str">
        <f t="shared" si="2"/>
        <v>FAIL</v>
      </c>
      <c r="L21" s="30">
        <v>25.6</v>
      </c>
      <c r="M21" s="24" t="str">
        <f t="shared" si="3"/>
        <v>FAIL</v>
      </c>
      <c r="N21" s="30">
        <v>26</v>
      </c>
      <c r="O21" s="24" t="str">
        <f t="shared" si="4"/>
        <v>PASS</v>
      </c>
      <c r="P21" s="29">
        <f t="shared" si="5"/>
        <v>155.29999999999998</v>
      </c>
      <c r="Q21" s="24" t="str">
        <f t="shared" si="6"/>
        <v>FAIL</v>
      </c>
      <c r="R21" s="32">
        <f t="shared" si="7"/>
        <v>34.511111111111106</v>
      </c>
    </row>
    <row r="22" spans="1:18" x14ac:dyDescent="0.35">
      <c r="A22" s="29">
        <v>3720786</v>
      </c>
      <c r="B22" s="30" t="s">
        <v>68</v>
      </c>
      <c r="C22" s="30" t="s">
        <v>78</v>
      </c>
      <c r="D22" s="30" t="s">
        <v>80</v>
      </c>
      <c r="E22" s="31">
        <v>46192</v>
      </c>
      <c r="F22" s="30">
        <v>45.8</v>
      </c>
      <c r="G22" s="24" t="str">
        <f t="shared" si="0"/>
        <v>FAIL</v>
      </c>
      <c r="H22" s="30">
        <v>36.299999999999997</v>
      </c>
      <c r="I22" s="24" t="str">
        <f t="shared" si="1"/>
        <v>FAIL</v>
      </c>
      <c r="J22" s="30">
        <v>29.3</v>
      </c>
      <c r="K22" s="24" t="str">
        <f t="shared" si="2"/>
        <v>FAIL</v>
      </c>
      <c r="L22" s="30">
        <v>37.9</v>
      </c>
      <c r="M22" s="24" t="str">
        <f t="shared" si="3"/>
        <v>FAIL</v>
      </c>
      <c r="N22" s="30">
        <v>24</v>
      </c>
      <c r="O22" s="24" t="str">
        <f t="shared" si="4"/>
        <v>FAIL</v>
      </c>
      <c r="P22" s="29">
        <f t="shared" si="5"/>
        <v>173.29999999999998</v>
      </c>
      <c r="Q22" s="24" t="str">
        <f t="shared" si="6"/>
        <v>FAIL</v>
      </c>
      <c r="R22" s="32">
        <f t="shared" si="7"/>
        <v>38.511111111111106</v>
      </c>
    </row>
    <row r="23" spans="1:18" x14ac:dyDescent="0.35">
      <c r="A23" s="29">
        <v>3720786</v>
      </c>
      <c r="B23" s="30" t="s">
        <v>69</v>
      </c>
      <c r="C23" s="30" t="s">
        <v>79</v>
      </c>
      <c r="D23" s="30" t="s">
        <v>81</v>
      </c>
      <c r="E23" s="31">
        <v>46192</v>
      </c>
      <c r="F23" s="30">
        <v>0</v>
      </c>
      <c r="G23" s="24" t="str">
        <f t="shared" si="0"/>
        <v>ABSENT</v>
      </c>
      <c r="H23" s="30">
        <v>0</v>
      </c>
      <c r="I23" s="24" t="str">
        <f t="shared" si="1"/>
        <v>ABSENT</v>
      </c>
      <c r="J23" s="30">
        <v>0</v>
      </c>
      <c r="K23" s="24" t="str">
        <f t="shared" si="2"/>
        <v>ABSENT</v>
      </c>
      <c r="L23" s="30">
        <v>0</v>
      </c>
      <c r="M23" s="24" t="str">
        <f t="shared" si="3"/>
        <v>ABSENT</v>
      </c>
      <c r="N23" s="30">
        <v>0</v>
      </c>
      <c r="O23" s="24" t="str">
        <f t="shared" si="4"/>
        <v>ABSENT</v>
      </c>
      <c r="P23" s="29">
        <f t="shared" si="5"/>
        <v>0</v>
      </c>
      <c r="Q23" s="24" t="str">
        <f t="shared" si="6"/>
        <v>ABSENT</v>
      </c>
      <c r="R23" s="32">
        <f t="shared" si="7"/>
        <v>0</v>
      </c>
    </row>
  </sheetData>
  <conditionalFormatting sqref="C14:C23">
    <cfRule type="duplicateValues" dxfId="1" priority="16"/>
  </conditionalFormatting>
  <conditionalFormatting sqref="E14:E23 P14:P23">
    <cfRule type="cellIs" dxfId="0" priority="4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workbookViewId="0">
      <selection activeCell="H10" sqref="H10"/>
    </sheetView>
  </sheetViews>
  <sheetFormatPr defaultRowHeight="14.5" x14ac:dyDescent="0.35"/>
  <cols>
    <col min="1" max="1" width="15.7265625" bestFit="1" customWidth="1"/>
    <col min="2" max="2" width="13" customWidth="1"/>
    <col min="4" max="5" width="10.81640625" customWidth="1"/>
    <col min="6" max="6" width="10.26953125" customWidth="1"/>
    <col min="7" max="7" width="10.453125" customWidth="1"/>
  </cols>
  <sheetData>
    <row r="1" spans="1:7" x14ac:dyDescent="0.35">
      <c r="A1" s="37" t="s">
        <v>9</v>
      </c>
      <c r="B1" s="37"/>
      <c r="C1" s="37"/>
      <c r="D1" s="37"/>
      <c r="E1" s="37"/>
      <c r="F1" s="37"/>
      <c r="G1" s="37"/>
    </row>
    <row r="2" spans="1:7" x14ac:dyDescent="0.35">
      <c r="A2" s="38" t="s">
        <v>10</v>
      </c>
      <c r="B2" s="38"/>
      <c r="C2" s="38"/>
      <c r="D2" s="38"/>
      <c r="E2" s="38"/>
      <c r="F2" s="38"/>
      <c r="G2" s="38"/>
    </row>
    <row r="3" spans="1:7" x14ac:dyDescent="0.35">
      <c r="A3" s="2" t="s">
        <v>11</v>
      </c>
      <c r="B3" s="39">
        <f>score_sheet!B10</f>
        <v>3720786</v>
      </c>
      <c r="C3" s="40"/>
      <c r="D3" s="40"/>
      <c r="E3" s="40"/>
      <c r="F3" s="40"/>
      <c r="G3" s="41"/>
    </row>
    <row r="4" spans="1:7" ht="26" x14ac:dyDescent="0.35">
      <c r="A4" s="23" t="s">
        <v>12</v>
      </c>
      <c r="B4" s="42" t="str">
        <f>score_sheet!B6</f>
        <v>PMKVY-4.0-CSCM STT</v>
      </c>
      <c r="C4" s="43"/>
      <c r="D4" s="3" t="s">
        <v>13</v>
      </c>
      <c r="E4" s="44">
        <v>0.5</v>
      </c>
      <c r="F4" s="45"/>
      <c r="G4" s="43"/>
    </row>
    <row r="5" spans="1:7" x14ac:dyDescent="0.35">
      <c r="A5" s="4" t="s">
        <v>7</v>
      </c>
      <c r="B5" s="46">
        <f>score_sheet!E14</f>
        <v>46192</v>
      </c>
      <c r="C5" s="47"/>
      <c r="D5" s="47"/>
      <c r="E5" s="47"/>
      <c r="F5" s="47"/>
      <c r="G5" s="48"/>
    </row>
    <row r="6" spans="1:7" x14ac:dyDescent="0.35">
      <c r="A6" s="5" t="s">
        <v>14</v>
      </c>
      <c r="B6" s="6" t="str">
        <f>score_sheet!B3</f>
        <v>Digital Mitra</v>
      </c>
      <c r="C6" s="20"/>
      <c r="D6" s="21"/>
      <c r="E6" s="21"/>
      <c r="F6" s="21"/>
      <c r="G6" s="22"/>
    </row>
    <row r="7" spans="1:7" ht="14.5" customHeight="1" x14ac:dyDescent="0.35">
      <c r="A7" s="49" t="s">
        <v>15</v>
      </c>
      <c r="C7" s="5" t="s">
        <v>16</v>
      </c>
      <c r="D7" s="55" t="s">
        <v>25</v>
      </c>
      <c r="E7" s="56"/>
      <c r="F7" s="10" t="s">
        <v>26</v>
      </c>
      <c r="G7" s="10" t="s">
        <v>27</v>
      </c>
    </row>
    <row r="8" spans="1:7" x14ac:dyDescent="0.35">
      <c r="A8" s="50"/>
      <c r="B8" s="7" t="s">
        <v>17</v>
      </c>
      <c r="C8" s="8">
        <f>COUNT(score_sheet!R14:R23)</f>
        <v>10</v>
      </c>
      <c r="D8" s="57"/>
      <c r="E8" s="58"/>
      <c r="F8" s="15">
        <f>COUNTIF(score_sheet!D14:D23,"M")</f>
        <v>0</v>
      </c>
      <c r="G8" s="15">
        <f>COUNTIF(score_sheet!D14:D23,"F")</f>
        <v>9</v>
      </c>
    </row>
    <row r="9" spans="1:7" x14ac:dyDescent="0.35">
      <c r="A9" s="50"/>
      <c r="B9" s="7" t="s">
        <v>18</v>
      </c>
      <c r="C9" s="8">
        <f>COUNTIF(score_sheet!Q14:Q23,"PASS")+COUNTIF(score_sheet!Q14:Q23,"FAIL")</f>
        <v>9</v>
      </c>
      <c r="D9" s="57"/>
      <c r="E9" s="58"/>
      <c r="F9" s="15">
        <f>COUNTIFS(score_sheet!$D$14:$D$23,"M",score_sheet!$Q$14:$Q$23,"PASS")+COUNTIFS(score_sheet!$D$14:$D$23,"M",score_sheet!$Q$14:$Q$23,"FAIL")</f>
        <v>0</v>
      </c>
      <c r="G9" s="15">
        <f>COUNTIFS(score_sheet!$D$14:$D$23,"F",score_sheet!$Q$14:$Q$23,"PASS")+COUNTIFS(score_sheet!$D$14:$D$23,"F",score_sheet!$Q$14:$Q$23,"FAIL")</f>
        <v>9</v>
      </c>
    </row>
    <row r="10" spans="1:7" x14ac:dyDescent="0.35">
      <c r="A10" s="51"/>
      <c r="B10" s="7" t="s">
        <v>19</v>
      </c>
      <c r="C10" s="8">
        <f>COUNTIF(score_sheet!Q14:Q23,"PASS")</f>
        <v>3</v>
      </c>
      <c r="D10" s="59"/>
      <c r="E10" s="60"/>
      <c r="F10" s="15">
        <f>COUNTIFS(score_sheet!$D$14:$D$23,"M",score_sheet!$Q$14:$Q$23,"PASS")</f>
        <v>0</v>
      </c>
      <c r="G10" s="15">
        <f>COUNTIFS(score_sheet!$D$14:$D$23,"F",score_sheet!$Q$14:$Q$23,"PASS")</f>
        <v>3</v>
      </c>
    </row>
    <row r="11" spans="1:7" x14ac:dyDescent="0.35">
      <c r="A11" s="38" t="s">
        <v>20</v>
      </c>
      <c r="B11" s="38"/>
      <c r="C11" s="38"/>
      <c r="D11" s="38"/>
      <c r="E11" s="38"/>
      <c r="F11" s="38"/>
      <c r="G11" s="38"/>
    </row>
    <row r="12" spans="1:7" ht="39" x14ac:dyDescent="0.3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35">
      <c r="A13" s="1" t="s">
        <v>50</v>
      </c>
      <c r="B13" s="11">
        <f>$C$10/$C$9*100</f>
        <v>33.333333333333329</v>
      </c>
      <c r="C13" s="16">
        <f>AVERAGE(score_sheet!F$14:F$23)</f>
        <v>39.86</v>
      </c>
      <c r="D13" s="16">
        <f>MIN(score_sheet!F$14:F$23)</f>
        <v>0</v>
      </c>
      <c r="E13" s="17">
        <f>MAX(score_sheet!F$14:F$23)</f>
        <v>74</v>
      </c>
      <c r="F13" s="18">
        <f>MEDIAN(score_sheet!F$14:F$23)</f>
        <v>41.2</v>
      </c>
      <c r="G13" s="17">
        <f>STDEVP(score_sheet!F$14:F$23)</f>
        <v>24.499436728218861</v>
      </c>
    </row>
    <row r="14" spans="1:7" x14ac:dyDescent="0.35">
      <c r="A14" s="1" t="s">
        <v>51</v>
      </c>
      <c r="B14" s="11">
        <f t="shared" ref="B14:B17" si="0">$C$10/$C$9*100</f>
        <v>33.333333333333329</v>
      </c>
      <c r="C14" s="16">
        <f>AVERAGE(score_sheet!H$14:H$23)</f>
        <v>35.61</v>
      </c>
      <c r="D14" s="16">
        <f>MIN(score_sheet!H$14:H$23)</f>
        <v>0</v>
      </c>
      <c r="E14" s="17">
        <f>MAX(score_sheet!H$14:H$23)</f>
        <v>70.099999999999994</v>
      </c>
      <c r="F14" s="18">
        <f>MEDIAN(score_sheet!H$14:H$23)</f>
        <v>38</v>
      </c>
      <c r="G14" s="17">
        <f>STDEVP(score_sheet!H$14:H$23)</f>
        <v>19.758565231311707</v>
      </c>
    </row>
    <row r="15" spans="1:7" x14ac:dyDescent="0.35">
      <c r="A15" s="1" t="s">
        <v>52</v>
      </c>
      <c r="B15" s="11">
        <f t="shared" si="0"/>
        <v>33.333333333333329</v>
      </c>
      <c r="C15" s="16">
        <f>AVERAGE(score_sheet!J$14:J$23)</f>
        <v>40.180000000000007</v>
      </c>
      <c r="D15" s="16">
        <f>MIN(score_sheet!J$14:J$23)</f>
        <v>0</v>
      </c>
      <c r="E15" s="17">
        <f>MAX(score_sheet!J$14:J$23)</f>
        <v>71.400000000000006</v>
      </c>
      <c r="F15" s="18">
        <f>MEDIAN(score_sheet!J$14:J$23)</f>
        <v>40.450000000000003</v>
      </c>
      <c r="G15" s="17">
        <f>STDEVP(score_sheet!J$14:J$23)</f>
        <v>20.564474221336162</v>
      </c>
    </row>
    <row r="16" spans="1:7" x14ac:dyDescent="0.35">
      <c r="A16" s="1" t="s">
        <v>53</v>
      </c>
      <c r="B16" s="11">
        <f t="shared" si="0"/>
        <v>33.333333333333329</v>
      </c>
      <c r="C16" s="16">
        <f>AVERAGE(score_sheet!L$14:L$23)</f>
        <v>40.949999999999996</v>
      </c>
      <c r="D16" s="16">
        <f>MIN(score_sheet!L$14:L$23)</f>
        <v>0</v>
      </c>
      <c r="E16" s="17">
        <f>MAX(score_sheet!L$14:L$23)</f>
        <v>75.3</v>
      </c>
      <c r="F16" s="18">
        <f>MEDIAN(score_sheet!L$14:L$23)</f>
        <v>38.349999999999994</v>
      </c>
      <c r="G16" s="17">
        <f>STDEVP(score_sheet!L$14:L$23)</f>
        <v>21.301889587545993</v>
      </c>
    </row>
    <row r="17" spans="1:7" x14ac:dyDescent="0.35">
      <c r="A17" s="1" t="s">
        <v>54</v>
      </c>
      <c r="B17" s="11">
        <f t="shared" si="0"/>
        <v>33.333333333333329</v>
      </c>
      <c r="C17" s="16">
        <f>AVERAGE(score_sheet!N$14:N$23)</f>
        <v>17.2</v>
      </c>
      <c r="D17" s="16">
        <f>MIN(score_sheet!N$14:N$23)</f>
        <v>0</v>
      </c>
      <c r="E17" s="17">
        <f>MAX(score_sheet!N$14:N$23)</f>
        <v>31</v>
      </c>
      <c r="F17" s="18">
        <f>MEDIAN(score_sheet!N$14:N$23)</f>
        <v>16.5</v>
      </c>
      <c r="G17" s="17">
        <f>STDEVP(score_sheet!N$14:N$23)</f>
        <v>8.0597766718439541</v>
      </c>
    </row>
    <row r="18" spans="1:7" x14ac:dyDescent="0.35">
      <c r="A18" s="38" t="s">
        <v>22</v>
      </c>
      <c r="B18" s="38"/>
      <c r="C18" s="38"/>
      <c r="D18" s="38"/>
      <c r="E18" s="38"/>
      <c r="F18" s="38"/>
      <c r="G18" s="38"/>
    </row>
    <row r="19" spans="1:7" x14ac:dyDescent="0.35">
      <c r="A19" s="12"/>
      <c r="B19" s="13">
        <v>1</v>
      </c>
      <c r="C19" s="13">
        <v>2</v>
      </c>
      <c r="D19" s="13">
        <v>3</v>
      </c>
      <c r="E19" s="13">
        <v>4</v>
      </c>
      <c r="F19" s="13">
        <v>5</v>
      </c>
      <c r="G19" s="13">
        <v>6</v>
      </c>
    </row>
    <row r="20" spans="1:7" x14ac:dyDescent="0.35">
      <c r="A20" s="52" t="s">
        <v>50</v>
      </c>
      <c r="B20" s="34" t="s">
        <v>82</v>
      </c>
      <c r="C20" s="34" t="s">
        <v>83</v>
      </c>
      <c r="D20" s="34" t="s">
        <v>84</v>
      </c>
      <c r="E20" s="34" t="s">
        <v>85</v>
      </c>
      <c r="F20" s="34" t="s">
        <v>86</v>
      </c>
      <c r="G20" s="34" t="s">
        <v>87</v>
      </c>
    </row>
    <row r="21" spans="1:7" x14ac:dyDescent="0.35">
      <c r="A21" s="53"/>
      <c r="B21" s="34" t="s">
        <v>88</v>
      </c>
      <c r="C21" s="34" t="s">
        <v>89</v>
      </c>
      <c r="D21" s="35"/>
      <c r="E21" s="35"/>
      <c r="F21" s="35"/>
      <c r="G21" s="35"/>
    </row>
    <row r="22" spans="1:7" x14ac:dyDescent="0.35">
      <c r="A22" s="54"/>
      <c r="B22" s="36"/>
      <c r="C22" s="36"/>
      <c r="D22" s="36"/>
      <c r="E22" s="36"/>
      <c r="F22" s="36"/>
      <c r="G22" s="36"/>
    </row>
    <row r="23" spans="1:7" x14ac:dyDescent="0.35">
      <c r="A23" s="52" t="s">
        <v>51</v>
      </c>
      <c r="B23" s="34" t="s">
        <v>90</v>
      </c>
      <c r="C23" s="34" t="s">
        <v>91</v>
      </c>
      <c r="D23" s="34" t="s">
        <v>92</v>
      </c>
      <c r="E23" s="34" t="s">
        <v>93</v>
      </c>
      <c r="F23" s="34" t="s">
        <v>86</v>
      </c>
      <c r="G23" s="34" t="s">
        <v>94</v>
      </c>
    </row>
    <row r="24" spans="1:7" x14ac:dyDescent="0.35">
      <c r="A24" s="53"/>
      <c r="B24" s="34" t="s">
        <v>95</v>
      </c>
      <c r="C24" s="34" t="s">
        <v>87</v>
      </c>
      <c r="D24" s="34" t="s">
        <v>96</v>
      </c>
      <c r="E24" s="35"/>
      <c r="F24" s="35"/>
      <c r="G24" s="35"/>
    </row>
    <row r="25" spans="1:7" x14ac:dyDescent="0.35">
      <c r="A25" s="54"/>
      <c r="B25" s="36"/>
      <c r="C25" s="36"/>
      <c r="D25" s="36"/>
      <c r="E25" s="36"/>
      <c r="F25" s="36"/>
      <c r="G25" s="36"/>
    </row>
    <row r="26" spans="1:7" x14ac:dyDescent="0.35">
      <c r="A26" s="52" t="s">
        <v>52</v>
      </c>
      <c r="B26" s="34" t="s">
        <v>94</v>
      </c>
      <c r="C26" s="34" t="s">
        <v>97</v>
      </c>
      <c r="D26" s="34" t="s">
        <v>88</v>
      </c>
      <c r="E26" s="34" t="s">
        <v>86</v>
      </c>
      <c r="F26" s="34" t="s">
        <v>98</v>
      </c>
      <c r="G26" s="34" t="s">
        <v>95</v>
      </c>
    </row>
    <row r="27" spans="1:7" x14ac:dyDescent="0.35">
      <c r="A27" s="53"/>
      <c r="B27" s="34" t="s">
        <v>87</v>
      </c>
      <c r="C27" s="34" t="s">
        <v>82</v>
      </c>
      <c r="D27" s="34" t="s">
        <v>89</v>
      </c>
      <c r="E27" s="35"/>
      <c r="F27" s="35"/>
      <c r="G27" s="35"/>
    </row>
    <row r="28" spans="1:7" x14ac:dyDescent="0.35">
      <c r="A28" s="54"/>
      <c r="B28" s="36"/>
      <c r="C28" s="36"/>
      <c r="D28" s="36"/>
      <c r="E28" s="36"/>
      <c r="F28" s="36"/>
      <c r="G28" s="36"/>
    </row>
    <row r="29" spans="1:7" x14ac:dyDescent="0.35">
      <c r="A29" s="52" t="s">
        <v>53</v>
      </c>
      <c r="B29" s="34" t="s">
        <v>90</v>
      </c>
      <c r="C29" s="34" t="s">
        <v>99</v>
      </c>
      <c r="D29" s="34" t="s">
        <v>100</v>
      </c>
      <c r="E29" s="34" t="s">
        <v>87</v>
      </c>
      <c r="F29" s="34" t="s">
        <v>92</v>
      </c>
      <c r="G29" s="34" t="s">
        <v>96</v>
      </c>
    </row>
    <row r="30" spans="1:7" x14ac:dyDescent="0.35">
      <c r="A30" s="53"/>
      <c r="B30" s="34" t="s">
        <v>91</v>
      </c>
      <c r="C30" s="34" t="s">
        <v>101</v>
      </c>
      <c r="D30" s="34" t="s">
        <v>102</v>
      </c>
      <c r="E30" s="35"/>
      <c r="F30" s="35"/>
      <c r="G30" s="35"/>
    </row>
    <row r="31" spans="1:7" x14ac:dyDescent="0.35">
      <c r="A31" s="54"/>
      <c r="B31" s="36"/>
      <c r="C31" s="36"/>
      <c r="D31" s="36"/>
      <c r="E31" s="36"/>
      <c r="F31" s="36"/>
      <c r="G31" s="36"/>
    </row>
    <row r="32" spans="1:7" x14ac:dyDescent="0.35">
      <c r="A32" s="52" t="s">
        <v>54</v>
      </c>
      <c r="B32" s="34" t="s">
        <v>90</v>
      </c>
      <c r="C32" s="34" t="s">
        <v>100</v>
      </c>
      <c r="D32" s="34" t="s">
        <v>102</v>
      </c>
      <c r="E32" s="34" t="s">
        <v>96</v>
      </c>
      <c r="F32" s="36"/>
      <c r="G32" s="36"/>
    </row>
    <row r="33" spans="1:7" x14ac:dyDescent="0.35">
      <c r="A33" s="53"/>
      <c r="B33" s="36"/>
      <c r="C33" s="36"/>
      <c r="D33" s="36"/>
      <c r="E33" s="36"/>
      <c r="F33" s="36"/>
      <c r="G33" s="36"/>
    </row>
    <row r="34" spans="1:7" x14ac:dyDescent="0.35">
      <c r="A34" s="54"/>
      <c r="B34" s="36"/>
      <c r="C34" s="36"/>
      <c r="D34" s="36"/>
      <c r="E34" s="36"/>
      <c r="F34" s="36"/>
      <c r="G34" s="36"/>
    </row>
    <row r="35" spans="1:7" x14ac:dyDescent="0.35">
      <c r="A35" s="61" t="s">
        <v>37</v>
      </c>
      <c r="B35" s="62"/>
      <c r="C35" s="62"/>
      <c r="D35" s="62"/>
      <c r="E35" s="62"/>
      <c r="F35" s="62"/>
      <c r="G35" s="63"/>
    </row>
    <row r="36" spans="1:7" x14ac:dyDescent="0.35">
      <c r="A36" s="52" t="s">
        <v>50</v>
      </c>
      <c r="B36" s="33" t="s">
        <v>95</v>
      </c>
      <c r="C36" s="33" t="s">
        <v>100</v>
      </c>
      <c r="D36" s="33" t="s">
        <v>92</v>
      </c>
      <c r="E36" s="19"/>
      <c r="F36" s="19"/>
      <c r="G36" s="19"/>
    </row>
    <row r="37" spans="1:7" x14ac:dyDescent="0.35">
      <c r="A37" s="53"/>
      <c r="B37" s="19"/>
      <c r="C37" s="19"/>
      <c r="D37" s="19"/>
      <c r="E37" s="19"/>
      <c r="F37" s="19"/>
      <c r="G37" s="19"/>
    </row>
    <row r="38" spans="1:7" x14ac:dyDescent="0.35">
      <c r="A38" s="54"/>
      <c r="B38" s="19"/>
      <c r="C38" s="19"/>
      <c r="D38" s="19"/>
      <c r="E38" s="19"/>
      <c r="F38" s="19"/>
      <c r="G38" s="19"/>
    </row>
    <row r="39" spans="1:7" x14ac:dyDescent="0.35">
      <c r="A39" s="52" t="s">
        <v>51</v>
      </c>
      <c r="B39" s="33" t="s">
        <v>102</v>
      </c>
      <c r="C39" s="19"/>
      <c r="D39" s="19"/>
      <c r="E39" s="19"/>
      <c r="F39" s="19"/>
      <c r="G39" s="19"/>
    </row>
    <row r="40" spans="1:7" x14ac:dyDescent="0.35">
      <c r="A40" s="53"/>
      <c r="B40" s="19"/>
      <c r="C40" s="19"/>
      <c r="D40" s="19"/>
      <c r="E40" s="19"/>
      <c r="F40" s="19"/>
      <c r="G40" s="19"/>
    </row>
    <row r="41" spans="1:7" x14ac:dyDescent="0.35">
      <c r="A41" s="54"/>
      <c r="B41" s="19"/>
      <c r="C41" s="19"/>
      <c r="D41" s="19"/>
      <c r="E41" s="19"/>
      <c r="F41" s="19"/>
      <c r="G41" s="19"/>
    </row>
    <row r="42" spans="1:7" x14ac:dyDescent="0.35">
      <c r="A42" s="52" t="s">
        <v>52</v>
      </c>
      <c r="B42" s="33" t="s">
        <v>101</v>
      </c>
      <c r="C42" s="33" t="s">
        <v>96</v>
      </c>
      <c r="D42" s="33" t="s">
        <v>103</v>
      </c>
      <c r="E42" s="19"/>
      <c r="F42" s="19"/>
      <c r="G42" s="19"/>
    </row>
    <row r="43" spans="1:7" x14ac:dyDescent="0.35">
      <c r="A43" s="53"/>
      <c r="B43" s="19"/>
      <c r="C43" s="19"/>
      <c r="D43" s="19"/>
      <c r="E43" s="19"/>
      <c r="F43" s="19"/>
      <c r="G43" s="19"/>
    </row>
    <row r="44" spans="1:7" x14ac:dyDescent="0.35">
      <c r="A44" s="54"/>
      <c r="B44" s="19"/>
      <c r="C44" s="19"/>
      <c r="D44" s="19"/>
      <c r="E44" s="19"/>
      <c r="F44" s="19"/>
      <c r="G44" s="19"/>
    </row>
    <row r="45" spans="1:7" x14ac:dyDescent="0.35">
      <c r="A45" s="52" t="s">
        <v>53</v>
      </c>
      <c r="B45" s="33" t="s">
        <v>95</v>
      </c>
      <c r="C45" s="19"/>
      <c r="D45" s="19"/>
      <c r="E45" s="19"/>
      <c r="F45" s="19"/>
      <c r="G45" s="19"/>
    </row>
    <row r="46" spans="1:7" x14ac:dyDescent="0.35">
      <c r="A46" s="53"/>
      <c r="B46" s="19"/>
      <c r="C46" s="19"/>
      <c r="D46" s="19"/>
      <c r="E46" s="19"/>
      <c r="F46" s="19"/>
      <c r="G46" s="19"/>
    </row>
    <row r="47" spans="1:7" x14ac:dyDescent="0.35">
      <c r="A47" s="54"/>
      <c r="B47" s="19"/>
      <c r="C47" s="19"/>
      <c r="D47" s="19"/>
      <c r="E47" s="19"/>
      <c r="F47" s="19"/>
      <c r="G47" s="19"/>
    </row>
    <row r="48" spans="1:7" x14ac:dyDescent="0.35">
      <c r="A48" s="52" t="s">
        <v>54</v>
      </c>
      <c r="B48" s="33" t="s">
        <v>99</v>
      </c>
      <c r="C48" s="19"/>
      <c r="D48" s="19"/>
      <c r="E48" s="19"/>
      <c r="F48" s="19"/>
      <c r="G48" s="19"/>
    </row>
    <row r="49" spans="1:7" x14ac:dyDescent="0.35">
      <c r="A49" s="53"/>
      <c r="B49" s="19"/>
      <c r="C49" s="19"/>
      <c r="D49" s="19"/>
      <c r="E49" s="19"/>
      <c r="F49" s="19"/>
      <c r="G49" s="19"/>
    </row>
    <row r="50" spans="1:7" x14ac:dyDescent="0.35">
      <c r="A50" s="54"/>
      <c r="B50" s="19"/>
      <c r="C50" s="19"/>
      <c r="D50" s="19"/>
      <c r="E50" s="19"/>
      <c r="F50" s="19"/>
      <c r="G50" s="19"/>
    </row>
    <row r="51" spans="1:7" x14ac:dyDescent="0.35">
      <c r="A51" s="61" t="s">
        <v>23</v>
      </c>
      <c r="B51" s="62"/>
      <c r="C51" s="62"/>
      <c r="D51" s="62"/>
      <c r="E51" s="62"/>
      <c r="F51" s="62"/>
      <c r="G51" s="63"/>
    </row>
    <row r="52" spans="1:7" x14ac:dyDescent="0.35">
      <c r="A52" s="52" t="s">
        <v>50</v>
      </c>
      <c r="B52" s="19"/>
      <c r="C52" s="19"/>
      <c r="D52" s="19"/>
      <c r="E52" s="19"/>
      <c r="F52" s="19"/>
      <c r="G52" s="19"/>
    </row>
    <row r="53" spans="1:7" x14ac:dyDescent="0.35">
      <c r="A53" s="53"/>
      <c r="B53" s="19"/>
      <c r="C53" s="19"/>
      <c r="D53" s="19"/>
      <c r="E53" s="19"/>
      <c r="F53" s="19"/>
      <c r="G53" s="19"/>
    </row>
    <row r="54" spans="1:7" x14ac:dyDescent="0.35">
      <c r="A54" s="54"/>
      <c r="B54" s="19"/>
      <c r="C54" s="19"/>
      <c r="D54" s="19"/>
      <c r="E54" s="19"/>
      <c r="F54" s="19"/>
      <c r="G54" s="19"/>
    </row>
    <row r="55" spans="1:7" x14ac:dyDescent="0.35">
      <c r="A55" s="52" t="s">
        <v>51</v>
      </c>
      <c r="B55" s="19"/>
      <c r="C55" s="19"/>
      <c r="D55" s="19"/>
      <c r="E55" s="19"/>
      <c r="F55" s="19"/>
      <c r="G55" s="19"/>
    </row>
    <row r="56" spans="1:7" x14ac:dyDescent="0.35">
      <c r="A56" s="53"/>
      <c r="B56" s="19"/>
      <c r="C56" s="19"/>
      <c r="D56" s="19"/>
      <c r="E56" s="19"/>
      <c r="F56" s="19"/>
      <c r="G56" s="19"/>
    </row>
    <row r="57" spans="1:7" x14ac:dyDescent="0.35">
      <c r="A57" s="54"/>
      <c r="B57" s="19"/>
      <c r="C57" s="19"/>
      <c r="D57" s="19"/>
      <c r="E57" s="19"/>
      <c r="F57" s="19"/>
      <c r="G57" s="19"/>
    </row>
    <row r="58" spans="1:7" x14ac:dyDescent="0.35">
      <c r="A58" s="52" t="s">
        <v>52</v>
      </c>
      <c r="B58" s="19"/>
      <c r="C58" s="19"/>
      <c r="D58" s="19"/>
      <c r="E58" s="19"/>
      <c r="F58" s="19"/>
      <c r="G58" s="19"/>
    </row>
    <row r="59" spans="1:7" x14ac:dyDescent="0.35">
      <c r="A59" s="53"/>
      <c r="B59" s="19"/>
      <c r="C59" s="19"/>
      <c r="D59" s="19"/>
      <c r="E59" s="19"/>
      <c r="F59" s="19"/>
      <c r="G59" s="19"/>
    </row>
    <row r="60" spans="1:7" x14ac:dyDescent="0.35">
      <c r="A60" s="54"/>
      <c r="B60" s="19"/>
      <c r="C60" s="19"/>
      <c r="D60" s="19"/>
      <c r="E60" s="19"/>
      <c r="F60" s="19"/>
      <c r="G60" s="19"/>
    </row>
    <row r="61" spans="1:7" ht="15" customHeight="1" x14ac:dyDescent="0.35">
      <c r="A61" s="52" t="s">
        <v>53</v>
      </c>
      <c r="B61" s="19"/>
      <c r="C61" s="19"/>
      <c r="D61" s="19"/>
      <c r="E61" s="19"/>
      <c r="F61" s="19"/>
      <c r="G61" s="19"/>
    </row>
    <row r="62" spans="1:7" x14ac:dyDescent="0.35">
      <c r="A62" s="53"/>
      <c r="B62" s="19"/>
      <c r="C62" s="19"/>
      <c r="D62" s="19"/>
      <c r="E62" s="19"/>
      <c r="F62" s="19"/>
      <c r="G62" s="19"/>
    </row>
    <row r="63" spans="1:7" x14ac:dyDescent="0.35">
      <c r="A63" s="54"/>
      <c r="B63" s="19"/>
      <c r="C63" s="19"/>
      <c r="D63" s="19"/>
      <c r="E63" s="19"/>
      <c r="F63" s="19"/>
      <c r="G63" s="19"/>
    </row>
    <row r="64" spans="1:7" x14ac:dyDescent="0.35">
      <c r="A64" s="52" t="s">
        <v>54</v>
      </c>
      <c r="B64" s="33" t="s">
        <v>95</v>
      </c>
      <c r="C64" s="33" t="s">
        <v>94</v>
      </c>
      <c r="D64" s="19" t="s">
        <v>91</v>
      </c>
      <c r="E64" s="19" t="s">
        <v>87</v>
      </c>
      <c r="F64" s="19" t="s">
        <v>101</v>
      </c>
      <c r="G64" s="19" t="s">
        <v>104</v>
      </c>
    </row>
    <row r="65" spans="1:7" x14ac:dyDescent="0.35">
      <c r="A65" s="53"/>
      <c r="B65" s="19" t="s">
        <v>92</v>
      </c>
      <c r="C65" s="19"/>
      <c r="D65" s="19"/>
      <c r="E65" s="19"/>
      <c r="F65" s="19"/>
      <c r="G65" s="19"/>
    </row>
    <row r="66" spans="1:7" x14ac:dyDescent="0.35">
      <c r="A66" s="54"/>
      <c r="B66" s="19"/>
      <c r="C66" s="19"/>
      <c r="D66" s="19"/>
      <c r="E66" s="19"/>
      <c r="F66" s="19"/>
      <c r="G66" s="19"/>
    </row>
  </sheetData>
  <mergeCells count="27">
    <mergeCell ref="A23:A25"/>
    <mergeCell ref="A26:A28"/>
    <mergeCell ref="A39:A41"/>
    <mergeCell ref="A42:A44"/>
    <mergeCell ref="A55:A57"/>
    <mergeCell ref="A29:A31"/>
    <mergeCell ref="A32:A34"/>
    <mergeCell ref="A36:A38"/>
    <mergeCell ref="A45:A47"/>
    <mergeCell ref="A48:A50"/>
    <mergeCell ref="A35:G35"/>
    <mergeCell ref="A64:A66"/>
    <mergeCell ref="A51:G51"/>
    <mergeCell ref="A52:A54"/>
    <mergeCell ref="A61:A63"/>
    <mergeCell ref="A58:A60"/>
    <mergeCell ref="B5:G5"/>
    <mergeCell ref="A7:A10"/>
    <mergeCell ref="A11:G11"/>
    <mergeCell ref="A18:G18"/>
    <mergeCell ref="A20:A22"/>
    <mergeCell ref="D7:E10"/>
    <mergeCell ref="A1:G1"/>
    <mergeCell ref="A2:G2"/>
    <mergeCell ref="B3:G3"/>
    <mergeCell ref="B4:C4"/>
    <mergeCell ref="E4:G4"/>
  </mergeCells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4.5" x14ac:dyDescent="0.35"/>
  <sheetData>
    <row r="1" spans="1:2" x14ac:dyDescent="0.35">
      <c r="A1" s="14" t="s">
        <v>11</v>
      </c>
      <c r="B1" s="14">
        <f>score_sheet!B10</f>
        <v>3720786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Megha singh</cp:lastModifiedBy>
  <dcterms:created xsi:type="dcterms:W3CDTF">2015-05-01T13:34:33Z</dcterms:created>
  <dcterms:modified xsi:type="dcterms:W3CDTF">2026-06-20T10:29:28Z</dcterms:modified>
</cp:coreProperties>
</file>