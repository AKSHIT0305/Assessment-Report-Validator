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sheet" sheetId="1" state="visible" r:id="rId3"/>
    <sheet name="Batch Analysis - Tabular" sheetId="2" state="visible" r:id="rId4"/>
    <sheet name="Batch Analysis - Grap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<sst xmlns="http://schemas.openxmlformats.org/spreadsheetml/2006/main" count="180" uniqueCount="128">
  <si>
    <t xml:space="preserve">Assessment Agency Name</t>
  </si>
  <si>
    <t xml:space="preserve">Ginger Webs Pvt. Ltd.</t>
  </si>
  <si>
    <t xml:space="preserve">Training Provider Name</t>
  </si>
  <si>
    <t xml:space="preserve">MS SUPPORT SERVICES PRIVATE LIMITED</t>
  </si>
  <si>
    <t xml:space="preserve">Qualification Pack Name/Job Role</t>
  </si>
  <si>
    <t xml:space="preserve">Domestic Data Entry Operator</t>
  </si>
  <si>
    <t xml:space="preserve">Qualification Code</t>
  </si>
  <si>
    <t xml:space="preserve">SSC/Q2212</t>
  </si>
  <si>
    <t xml:space="preserve">Assessor Name/AR ID</t>
  </si>
  <si>
    <t xml:space="preserve">AR16214 &amp; Akshay Kumar</t>
  </si>
  <si>
    <t xml:space="preserve">Scheme Name</t>
  </si>
  <si>
    <t xml:space="preserve">TPA</t>
  </si>
  <si>
    <t xml:space="preserve">State</t>
  </si>
  <si>
    <t xml:space="preserve">Jharkhand</t>
  </si>
  <si>
    <t xml:space="preserve">City</t>
  </si>
  <si>
    <t xml:space="preserve">Deoghar</t>
  </si>
  <si>
    <t xml:space="preserve">Center ID</t>
  </si>
  <si>
    <t xml:space="preserve">NA</t>
  </si>
  <si>
    <t xml:space="preserve">Batch ID</t>
  </si>
  <si>
    <t xml:space="preserve">Trainee Name</t>
  </si>
  <si>
    <t xml:space="preserve">Candidate ID</t>
  </si>
  <si>
    <t xml:space="preserve">Gender</t>
  </si>
  <si>
    <t xml:space="preserve">Assessment Date</t>
  </si>
  <si>
    <t xml:space="preserve">SSC/N3022 - Score</t>
  </si>
  <si>
    <t xml:space="preserve">Pass/Fail</t>
  </si>
  <si>
    <t xml:space="preserve">DGT/VSQ/N0102 - Score</t>
  </si>
  <si>
    <t xml:space="preserve">Total</t>
  </si>
  <si>
    <t xml:space="preserve">Result of QP (Pass/Fail)</t>
  </si>
  <si>
    <t xml:space="preserve">Overall %</t>
  </si>
  <si>
    <t xml:space="preserve">LALITA DEVI</t>
  </si>
  <si>
    <t xml:space="preserve">CAN_040307480</t>
  </si>
  <si>
    <t xml:space="preserve">F</t>
  </si>
  <si>
    <t xml:space="preserve">BEAUTY KUMARI</t>
  </si>
  <si>
    <t xml:space="preserve">CAN_040307479</t>
  </si>
  <si>
    <t xml:space="preserve">MAMTA DEVI</t>
  </si>
  <si>
    <t xml:space="preserve">CAN_040307478</t>
  </si>
  <si>
    <t xml:space="preserve">PUNAM KUMARI</t>
  </si>
  <si>
    <t xml:space="preserve">CAN_040307477</t>
  </si>
  <si>
    <t xml:space="preserve">GAYTRI KUMARI</t>
  </si>
  <si>
    <t xml:space="preserve">CAN_040307476</t>
  </si>
  <si>
    <t xml:space="preserve">RINKU DEVI</t>
  </si>
  <si>
    <t xml:space="preserve">CAN_040307475</t>
  </si>
  <si>
    <t xml:space="preserve">MAMTA RAI</t>
  </si>
  <si>
    <t xml:space="preserve">CAN_040307474</t>
  </si>
  <si>
    <t xml:space="preserve">RANI KUMARI</t>
  </si>
  <si>
    <t xml:space="preserve">CAN_040307473</t>
  </si>
  <si>
    <t xml:space="preserve">KAJAL SINGH</t>
  </si>
  <si>
    <t xml:space="preserve">CAN_040307472</t>
  </si>
  <si>
    <t xml:space="preserve">PRIYA DEVI</t>
  </si>
  <si>
    <t xml:space="preserve">CAN_040307471</t>
  </si>
  <si>
    <t xml:space="preserve">SMRITI KUMARI</t>
  </si>
  <si>
    <t xml:space="preserve">CAN_040307470</t>
  </si>
  <si>
    <t xml:space="preserve">PUJA KUMARI</t>
  </si>
  <si>
    <t xml:space="preserve">CAN_040307469</t>
  </si>
  <si>
    <t xml:space="preserve">MUSKAN DEVI</t>
  </si>
  <si>
    <t xml:space="preserve">CAN_040307468</t>
  </si>
  <si>
    <t xml:space="preserve">PINKI KUMARI</t>
  </si>
  <si>
    <t xml:space="preserve">CAN_040307467</t>
  </si>
  <si>
    <t xml:space="preserve">PUNAM SINGH</t>
  </si>
  <si>
    <t xml:space="preserve">CAN_040307466</t>
  </si>
  <si>
    <t xml:space="preserve">BABLI DEVI</t>
  </si>
  <si>
    <t xml:space="preserve">CAN_040307465</t>
  </si>
  <si>
    <t xml:space="preserve">ABIR DAS</t>
  </si>
  <si>
    <t xml:space="preserve">CAN_040307464</t>
  </si>
  <si>
    <t xml:space="preserve">NITU KUMARI</t>
  </si>
  <si>
    <t xml:space="preserve">CAN_040307463</t>
  </si>
  <si>
    <t xml:space="preserve">RAJNI DEVI</t>
  </si>
  <si>
    <t xml:space="preserve">CAN_040307462</t>
  </si>
  <si>
    <t xml:space="preserve">SABNAM KUMARI</t>
  </si>
  <si>
    <t xml:space="preserve">CAN_040307461</t>
  </si>
  <si>
    <t xml:space="preserve">JULI DEVI</t>
  </si>
  <si>
    <t xml:space="preserve">CAN_040307460</t>
  </si>
  <si>
    <t xml:space="preserve">SONI KUMARI</t>
  </si>
  <si>
    <t xml:space="preserve">CAN_040307459</t>
  </si>
  <si>
    <t xml:space="preserve">MAMTA KUMARI</t>
  </si>
  <si>
    <t xml:space="preserve">CAN_040307458</t>
  </si>
  <si>
    <t xml:space="preserve">RUBI KUMARI</t>
  </si>
  <si>
    <t xml:space="preserve">CAN_040307457</t>
  </si>
  <si>
    <t xml:space="preserve">CAN_040307456</t>
  </si>
  <si>
    <t xml:space="preserve">CHANDA DEVI</t>
  </si>
  <si>
    <t xml:space="preserve">CAN_040307455</t>
  </si>
  <si>
    <t xml:space="preserve">SARSWATI DEVI</t>
  </si>
  <si>
    <t xml:space="preserve">CAN_040307454</t>
  </si>
  <si>
    <t xml:space="preserve">KARISHMA KUMARI</t>
  </si>
  <si>
    <t xml:space="preserve">CAN_040307453</t>
  </si>
  <si>
    <t xml:space="preserve">SAVITRI DEVI</t>
  </si>
  <si>
    <t xml:space="preserve">CAN_040307452</t>
  </si>
  <si>
    <t xml:space="preserve">Descriptive Analysis for the Batch </t>
  </si>
  <si>
    <t xml:space="preserve">BATCH SUMMARY</t>
  </si>
  <si>
    <t xml:space="preserve">Batch Id</t>
  </si>
  <si>
    <t xml:space="preserve">Scheme of Assessment</t>
  </si>
  <si>
    <t xml:space="preserve">Pass Criteria </t>
  </si>
  <si>
    <t xml:space="preserve">QP / Job role</t>
  </si>
  <si>
    <t xml:space="preserve">QP Result</t>
  </si>
  <si>
    <t xml:space="preserve">Gender Wise Analysis</t>
  </si>
  <si>
    <t xml:space="preserve">Male</t>
  </si>
  <si>
    <t xml:space="preserve">Female</t>
  </si>
  <si>
    <t xml:space="preserve">Enrolled</t>
  </si>
  <si>
    <t xml:space="preserve">Appeared</t>
  </si>
  <si>
    <t xml:space="preserve">Passed</t>
  </si>
  <si>
    <t xml:space="preserve">NOS SUMMARY</t>
  </si>
  <si>
    <t xml:space="preserve"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</si>
  <si>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</si>
  <si>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</si>
  <si>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</si>
  <si>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</si>
  <si>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</si>
  <si>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 xml:space="preserve">SSC/N3022</t>
  </si>
  <si>
    <t xml:space="preserve">DGT/VSQ/N0102</t>
  </si>
  <si>
    <t xml:space="preserve">WEAK PCs (AVERAGE SCORE LESS THAN 50%)</t>
  </si>
  <si>
    <t xml:space="preserve">PC10</t>
  </si>
  <si>
    <t xml:space="preserve">PC12</t>
  </si>
  <si>
    <t xml:space="preserve">PC13</t>
  </si>
  <si>
    <t xml:space="preserve">PC14</t>
  </si>
  <si>
    <t xml:space="preserve">PC15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</si>
  <si>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</si>
  <si>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</si>
  <si>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</si>
  <si>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</si>
  <si>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</si>
  <si>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</si>
  <si>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PC8</t>
  </si>
  <si>
    <t xml:space="preserve">PC9</t>
  </si>
  <si>
    <t xml:space="preserve">PC7</t>
  </si>
  <si>
    <t xml:space="preserve">PC11</t>
  </si>
  <si>
    <t xml:space="preserve">PC16</t>
  </si>
  <si>
    <t xml:space="preserve">Moderately weak PCs (AVERAGE SCORE BETWEEN 50-70%)</t>
  </si>
  <si>
    <t xml:space="preserve">STRONG PCs (AVERAGE SCORE MORE THAN 70%)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</si>
</sst>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dd/mm/yyyy"/>
    <numFmt numFmtId="167" formatCode="General"/>
    <numFmt numFmtId="168" formatCode="0.00"/>
    <numFmt numFmtId="169" formatCode="0%"/>
    <numFmt numFmtId="170" formatCode="[$-409]dd\-mmm\-yy;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9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QP Result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Tabular'!$C$8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Tabular'!$C$9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'Batch Analysis - Tabular'!$C$10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</c:ser>
        <c:gapWidth val="219"/>
        <c:overlap val="-27"/>
        <c:axId val="91913464"/>
        <c:axId val="35076981"/>
      </c:barChart>
      <c:catAx>
        <c:axId val="91913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76981"/>
        <c:auto val="1"/>
        <c:lblAlgn val="ctr"/>
        <c:lblOffset val="100"/>
        <c:noMultiLvlLbl val="0"/>
      </c:catAx>
      <c:valAx>
        <c:axId val="35076981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19134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NOS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8660542619099"/>
          <c:y val="0.128410513141427"/>
          <c:w val="0.905290892259489"/>
          <c:h val="0.552190237797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Tabular'!$B$13:$B$14</c:f>
              <c:numCache>
                <c:formatCode>General</c:formatCode>
                <c:ptCount val="2"/>
                <c:pt idx="0">
                  <c:v>96.551724137931</c:v>
                </c:pt>
                <c:pt idx="1">
                  <c:v>96.551724137931</c:v>
                </c:pt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Tabular'!$C$13:$C$14</c:f>
              <c:numCache>
                <c:formatCode>General</c:formatCode>
                <c:ptCount val="2"/>
                <c:pt idx="0">
                  <c:v>182.043103448276</c:v>
                </c:pt>
                <c:pt idx="1">
                  <c:v>29.6896551724138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Tabular'!$D$13:$D$14</c:f>
              <c:numCache>
                <c:formatCode>General</c:formatCode>
                <c:ptCount val="2"/>
                <c:pt idx="0">
                  <c:v>83</c:v>
                </c:pt>
                <c:pt idx="1">
                  <c:v>11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0.00" sourceLinked="1"/>
            <c:dLbl>
              <c:idx val="0"/>
              <c:layout>
                <c:manualLayout>
                  <c:x val="0"/>
                  <c:y val="0.00883002207505519"/>
                </c:manualLayout>
              </c:layout>
              <c:numFmt formatCode="0.00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Tabular'!$E$13:$E$14</c:f>
              <c:numCache>
                <c:formatCode>General</c:formatCode>
                <c:ptCount val="2"/>
                <c:pt idx="0">
                  <c:v>201.75</c:v>
                </c:pt>
                <c:pt idx="1">
                  <c:v>35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Tabular'!$F$13:$F$14</c:f>
              <c:numCache>
                <c:formatCode>General</c:formatCode>
                <c:ptCount val="2"/>
                <c:pt idx="0">
                  <c:v>184.25</c:v>
                </c:pt>
                <c:pt idx="1">
                  <c:v>30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Tabular'!$A$13:$A$14</c:f>
              <c:strCache>
                <c:ptCount val="2"/>
                <c:pt idx="0">
                  <c:v>SSC/N3022</c:v>
                </c:pt>
                <c:pt idx="1">
                  <c:v>DGT/VSQ/N0102</c:v>
                </c:pt>
              </c:strCache>
            </c:strRef>
          </c:cat>
          <c:val>
            <c:numRef>
              <c:f>'Batch Analysis - Tabular'!$G$13:$G$14</c:f>
              <c:numCache>
                <c:formatCode>General</c:formatCode>
                <c:ptCount val="2"/>
                <c:pt idx="0">
                  <c:v>21.5199455363124</c:v>
                </c:pt>
                <c:pt idx="1">
                  <c:v>4.41863958059072</c:v>
                </c:pt>
              </c:numCache>
            </c:numRef>
          </c:val>
        </c:ser>
        <c:gapWidth val="150"/>
        <c:overlap val="0"/>
        <c:axId val="85827974"/>
        <c:axId val="78646382"/>
      </c:barChart>
      <c:catAx>
        <c:axId val="858279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646382"/>
        <c:crosses val="autoZero"/>
        <c:auto val="1"/>
        <c:lblAlgn val="ctr"/>
        <c:lblOffset val="100"/>
        <c:noMultiLvlLbl val="0"/>
      </c:catAx>
      <c:valAx>
        <c:axId val="78646382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58279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</a:rPr>
              <a:t>Gender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29</c:v>
                </c:pt>
                <c:pt idx="1">
                  <c:v>29</c:v>
                </c:pt>
                <c:pt idx="2">
                  <c:v>28</c:v>
                </c:pt>
              </c:numCache>
            </c:numRef>
          </c:val>
        </c:ser>
        <c:gapWidth val="219"/>
        <c:overlap val="-27"/>
        <c:axId val="29385743"/>
        <c:axId val="32673096"/>
      </c:barChart>
      <c:catAx>
        <c:axId val="293857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2673096"/>
        <c:crosses val="autoZero"/>
        <c:auto val="1"/>
        <c:lblAlgn val="ctr"/>
        <c:lblOffset val="100"/>
        <c:noMultiLvlLbl val="0"/>
      </c:catAx>
      <c:valAx>
        <c:axId val="326730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93857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192240</xdr:colOff>
      <xdr:row>2</xdr:row>
      <xdr:rowOff>85680</xdr:rowOff>
    </xdr:from>
    <xdr:to>
      <xdr:col>7</xdr:col>
      <xdr:colOff>324720</xdr:colOff>
      <xdr:row>17</xdr:row>
      <xdr:rowOff>94320</xdr:rowOff>
    </xdr:to>
    <xdr:graphicFrame>
      <xdr:nvGraphicFramePr>
        <xdr:cNvPr id="0" name="Chart 1"/>
        <xdr:cNvGraphicFramePr/>
      </xdr:nvGraphicFramePr>
      <xdr:xfrm>
        <a:off x="192240" y="466560"/>
        <a:ext cx="4412880" cy="286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16</xdr:col>
      <xdr:colOff>35280</xdr:colOff>
      <xdr:row>17</xdr:row>
      <xdr:rowOff>104040</xdr:rowOff>
    </xdr:to>
    <xdr:graphicFrame>
      <xdr:nvGraphicFramePr>
        <xdr:cNvPr id="1" name="Chart 2"/>
        <xdr:cNvGraphicFramePr/>
      </xdr:nvGraphicFramePr>
      <xdr:xfrm>
        <a:off x="4764240" y="466560"/>
        <a:ext cx="5055120" cy="287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198000</xdr:colOff>
      <xdr:row>2</xdr:row>
      <xdr:rowOff>76320</xdr:rowOff>
    </xdr:from>
    <xdr:to>
      <xdr:col>23</xdr:col>
      <xdr:colOff>502200</xdr:colOff>
      <xdr:row>17</xdr:row>
      <xdr:rowOff>75600</xdr:rowOff>
    </xdr:to>
    <xdr:graphicFrame>
      <xdr:nvGraphicFramePr>
        <xdr:cNvPr id="2" name="Chart 3"/>
        <xdr:cNvGraphicFramePr/>
      </xdr:nvGraphicFramePr>
      <xdr:xfrm>
        <a:off x="9982080" y="457200"/>
        <a:ext cx="458460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9.1484375" defaultRowHeight="13.8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33.57"/>
    <col collapsed="false" customWidth="true" hidden="false" outlineLevel="0" max="3" min="3" style="1" width="20.71"/>
    <col collapsed="false" customWidth="true" hidden="false" outlineLevel="0" max="4" min="4" style="1" width="10.85"/>
    <col collapsed="false" customWidth="true" hidden="false" outlineLevel="0" max="5" min="5" style="1" width="16.29"/>
    <col collapsed="false" customWidth="true" hidden="false" outlineLevel="0" max="6" min="6" style="1" width="13.86"/>
    <col collapsed="false" customWidth="true" hidden="false" outlineLevel="0" max="7" min="7" style="1" width="13.15"/>
    <col collapsed="false" customWidth="true" hidden="false" outlineLevel="0" max="8" min="8" style="1" width="12.86"/>
    <col collapsed="false" customWidth="true" hidden="false" outlineLevel="0" max="11" min="9" style="1" width="13.15"/>
    <col collapsed="false" customWidth="false" hidden="false" outlineLevel="0" max="16384" min="12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23.85" hidden="false" customHeight="false" outlineLevel="0" collapsed="false">
      <c r="A2" s="2" t="s">
        <v>2</v>
      </c>
      <c r="B2" s="3" t="s">
        <v>3</v>
      </c>
    </row>
    <row r="3" customFormat="false" ht="13.8" hidden="false" customHeight="false" outlineLevel="0" collapsed="false">
      <c r="A3" s="2" t="s">
        <v>4</v>
      </c>
      <c r="B3" s="2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15</v>
      </c>
    </row>
    <row r="9" customFormat="false" ht="13.8" hidden="false" customHeight="false" outlineLevel="0" collapsed="false">
      <c r="A9" s="2" t="s">
        <v>16</v>
      </c>
      <c r="B9" s="2" t="s">
        <v>17</v>
      </c>
    </row>
    <row r="10" customFormat="false" ht="13.8" hidden="false" customHeight="false" outlineLevel="0" collapsed="false">
      <c r="A10" s="2" t="s">
        <v>18</v>
      </c>
      <c r="B10" s="4" t="n">
        <v>3786125</v>
      </c>
    </row>
    <row r="11" customFormat="false" ht="13.8" hidden="false" customHeight="false" outlineLevel="0" collapsed="false">
      <c r="A11" s="5"/>
      <c r="B11" s="5"/>
    </row>
    <row r="13" customFormat="false" ht="24.55" hidden="false" customHeight="false" outlineLevel="0" collapsed="false">
      <c r="A13" s="6" t="s">
        <v>18</v>
      </c>
      <c r="B13" s="6" t="s">
        <v>19</v>
      </c>
      <c r="C13" s="6" t="s">
        <v>20</v>
      </c>
      <c r="D13" s="6" t="s">
        <v>21</v>
      </c>
      <c r="E13" s="6" t="s">
        <v>22</v>
      </c>
      <c r="F13" s="7" t="s">
        <v>23</v>
      </c>
      <c r="G13" s="7" t="s">
        <v>24</v>
      </c>
      <c r="H13" s="7" t="s">
        <v>25</v>
      </c>
      <c r="I13" s="7" t="s">
        <v>24</v>
      </c>
      <c r="J13" s="7" t="s">
        <v>26</v>
      </c>
      <c r="K13" s="7" t="s">
        <v>27</v>
      </c>
      <c r="L13" s="7" t="s">
        <v>28</v>
      </c>
    </row>
    <row r="14" customFormat="false" ht="13.8" hidden="false" customHeight="false" outlineLevel="0" collapsed="false">
      <c r="A14" s="4" t="n">
        <v>3786125</v>
      </c>
      <c r="B14" s="2" t="s">
        <v>29</v>
      </c>
      <c r="C14" s="2" t="s">
        <v>30</v>
      </c>
      <c r="D14" s="2" t="s">
        <v>31</v>
      </c>
      <c r="E14" s="8" t="n">
        <v>46187</v>
      </c>
      <c r="F14" s="2" t="n">
        <v>83</v>
      </c>
      <c r="G14" s="2" t="str">
        <f aca="false">IF(F14&gt;=150,"PASS",IF(F14&gt;0,"FAIL", "ABSENT"))</f>
        <v>FAIL</v>
      </c>
      <c r="H14" s="2" t="n">
        <v>11</v>
      </c>
      <c r="I14" s="2" t="str">
        <f aca="false">IF(H14&gt;=25,"PASS",IF(H14&gt;0,"FAIL", "ABSENT"))</f>
        <v>FAIL</v>
      </c>
      <c r="J14" s="9" t="n">
        <f aca="false">F14+H14</f>
        <v>94</v>
      </c>
      <c r="K14" s="2" t="str">
        <f aca="false">IF(L14&gt;=50,"PASS",IF(L14&gt;0,"FAIL","ABSENT"))</f>
        <v>FAIL</v>
      </c>
      <c r="L14" s="10" t="n">
        <f aca="false">J14/350*100</f>
        <v>26.8571428571429</v>
      </c>
    </row>
    <row r="15" customFormat="false" ht="13.8" hidden="false" customHeight="false" outlineLevel="0" collapsed="false">
      <c r="A15" s="4" t="n">
        <v>3786125</v>
      </c>
      <c r="B15" s="2" t="s">
        <v>32</v>
      </c>
      <c r="C15" s="2" t="s">
        <v>33</v>
      </c>
      <c r="D15" s="2" t="s">
        <v>31</v>
      </c>
      <c r="E15" s="8" t="n">
        <v>46187</v>
      </c>
      <c r="F15" s="2" t="n">
        <v>171.75</v>
      </c>
      <c r="G15" s="2" t="str">
        <f aca="false">IF(F15&gt;=150,"PASS",IF(F15&gt;0,"FAIL", "ABSENT"))</f>
        <v>PASS</v>
      </c>
      <c r="H15" s="2" t="n">
        <v>31</v>
      </c>
      <c r="I15" s="2" t="str">
        <f aca="false">IF(H15&gt;=25,"PASS",IF(H15&gt;0,"FAIL", "ABSENT"))</f>
        <v>PASS</v>
      </c>
      <c r="J15" s="9" t="n">
        <f aca="false">F15+H15</f>
        <v>202.75</v>
      </c>
      <c r="K15" s="2" t="str">
        <f aca="false">IF(L15&gt;=50,"PASS",IF(L15&gt;0,"FAIL","ABSENT"))</f>
        <v>PASS</v>
      </c>
      <c r="L15" s="10" t="n">
        <f aca="false">J15/350*100</f>
        <v>57.9285714285714</v>
      </c>
    </row>
    <row r="16" customFormat="false" ht="13.8" hidden="false" customHeight="false" outlineLevel="0" collapsed="false">
      <c r="A16" s="4" t="n">
        <v>3786125</v>
      </c>
      <c r="B16" s="2" t="s">
        <v>34</v>
      </c>
      <c r="C16" s="2" t="s">
        <v>35</v>
      </c>
      <c r="D16" s="2" t="s">
        <v>31</v>
      </c>
      <c r="E16" s="8" t="n">
        <v>46187</v>
      </c>
      <c r="F16" s="2" t="n">
        <v>180.5</v>
      </c>
      <c r="G16" s="2" t="str">
        <f aca="false">IF(F16&gt;=150,"PASS",IF(F16&gt;0,"FAIL", "ABSENT"))</f>
        <v>PASS</v>
      </c>
      <c r="H16" s="2" t="n">
        <v>30</v>
      </c>
      <c r="I16" s="2" t="str">
        <f aca="false">IF(H16&gt;=25,"PASS",IF(H16&gt;0,"FAIL", "ABSENT"))</f>
        <v>PASS</v>
      </c>
      <c r="J16" s="9" t="n">
        <f aca="false">F16+H16</f>
        <v>210.5</v>
      </c>
      <c r="K16" s="2" t="str">
        <f aca="false">IF(L16&gt;=50,"PASS",IF(L16&gt;0,"FAIL","ABSENT"))</f>
        <v>PASS</v>
      </c>
      <c r="L16" s="10" t="n">
        <f aca="false">J16/350*100</f>
        <v>60.1428571428571</v>
      </c>
    </row>
    <row r="17" customFormat="false" ht="13.8" hidden="false" customHeight="false" outlineLevel="0" collapsed="false">
      <c r="A17" s="4" t="n">
        <v>3786125</v>
      </c>
      <c r="B17" s="2" t="s">
        <v>36</v>
      </c>
      <c r="C17" s="2" t="s">
        <v>37</v>
      </c>
      <c r="D17" s="2" t="s">
        <v>31</v>
      </c>
      <c r="E17" s="8" t="n">
        <v>46187</v>
      </c>
      <c r="F17" s="2" t="n">
        <v>186.75</v>
      </c>
      <c r="G17" s="2" t="str">
        <f aca="false">IF(F17&gt;=150,"PASS",IF(F17&gt;0,"FAIL", "ABSENT"))</f>
        <v>PASS</v>
      </c>
      <c r="H17" s="2" t="n">
        <v>35</v>
      </c>
      <c r="I17" s="2" t="str">
        <f aca="false">IF(H17&gt;=25,"PASS",IF(H17&gt;0,"FAIL", "ABSENT"))</f>
        <v>PASS</v>
      </c>
      <c r="J17" s="9" t="n">
        <f aca="false">F17+H17</f>
        <v>221.75</v>
      </c>
      <c r="K17" s="2" t="str">
        <f aca="false">IF(L17&gt;=50,"PASS",IF(L17&gt;0,"FAIL","ABSENT"))</f>
        <v>PASS</v>
      </c>
      <c r="L17" s="10" t="n">
        <f aca="false">J17/350*100</f>
        <v>63.3571428571429</v>
      </c>
    </row>
    <row r="18" customFormat="false" ht="13.8" hidden="false" customHeight="false" outlineLevel="0" collapsed="false">
      <c r="A18" s="4" t="n">
        <v>3786125</v>
      </c>
      <c r="B18" s="2" t="s">
        <v>38</v>
      </c>
      <c r="C18" s="2" t="s">
        <v>39</v>
      </c>
      <c r="D18" s="2" t="s">
        <v>31</v>
      </c>
      <c r="E18" s="8" t="n">
        <v>46187</v>
      </c>
      <c r="F18" s="2" t="n">
        <v>167.5</v>
      </c>
      <c r="G18" s="2" t="str">
        <f aca="false">IF(F18&gt;=150,"PASS",IF(F18&gt;0,"FAIL", "ABSENT"))</f>
        <v>PASS</v>
      </c>
      <c r="H18" s="2" t="n">
        <v>29</v>
      </c>
      <c r="I18" s="2" t="str">
        <f aca="false">IF(H18&gt;=25,"PASS",IF(H18&gt;0,"FAIL", "ABSENT"))</f>
        <v>PASS</v>
      </c>
      <c r="J18" s="9" t="n">
        <f aca="false">F18+H18</f>
        <v>196.5</v>
      </c>
      <c r="K18" s="2" t="str">
        <f aca="false">IF(L18&gt;=50,"PASS",IF(L18&gt;0,"FAIL","ABSENT"))</f>
        <v>PASS</v>
      </c>
      <c r="L18" s="10" t="n">
        <f aca="false">J18/350*100</f>
        <v>56.1428571428571</v>
      </c>
    </row>
    <row r="19" customFormat="false" ht="13.8" hidden="false" customHeight="false" outlineLevel="0" collapsed="false">
      <c r="A19" s="4" t="n">
        <v>3786125</v>
      </c>
      <c r="B19" s="2" t="s">
        <v>40</v>
      </c>
      <c r="C19" s="2" t="s">
        <v>41</v>
      </c>
      <c r="D19" s="2" t="s">
        <v>31</v>
      </c>
      <c r="E19" s="8" t="n">
        <v>46187</v>
      </c>
      <c r="F19" s="2" t="n">
        <v>193.75</v>
      </c>
      <c r="G19" s="2" t="str">
        <f aca="false">IF(F19&gt;=150,"PASS",IF(F19&gt;0,"FAIL", "ABSENT"))</f>
        <v>PASS</v>
      </c>
      <c r="H19" s="2" t="n">
        <v>33</v>
      </c>
      <c r="I19" s="2" t="str">
        <f aca="false">IF(H19&gt;=25,"PASS",IF(H19&gt;0,"FAIL", "ABSENT"))</f>
        <v>PASS</v>
      </c>
      <c r="J19" s="9" t="n">
        <f aca="false">F19+H19</f>
        <v>226.75</v>
      </c>
      <c r="K19" s="2" t="str">
        <f aca="false">IF(L19&gt;=50,"PASS",IF(L19&gt;0,"FAIL","ABSENT"))</f>
        <v>PASS</v>
      </c>
      <c r="L19" s="10" t="n">
        <f aca="false">J19/350*100</f>
        <v>64.7857142857143</v>
      </c>
    </row>
    <row r="20" customFormat="false" ht="13.8" hidden="false" customHeight="false" outlineLevel="0" collapsed="false">
      <c r="A20" s="4" t="n">
        <v>3786125</v>
      </c>
      <c r="B20" s="2" t="s">
        <v>42</v>
      </c>
      <c r="C20" s="2" t="s">
        <v>43</v>
      </c>
      <c r="D20" s="2" t="s">
        <v>31</v>
      </c>
      <c r="E20" s="8" t="n">
        <v>46187</v>
      </c>
      <c r="F20" s="2" t="n">
        <v>180.5</v>
      </c>
      <c r="G20" s="2" t="str">
        <f aca="false">IF(F20&gt;=150,"PASS",IF(F20&gt;0,"FAIL", "ABSENT"))</f>
        <v>PASS</v>
      </c>
      <c r="H20" s="2" t="n">
        <v>35</v>
      </c>
      <c r="I20" s="2" t="str">
        <f aca="false">IF(H20&gt;=25,"PASS",IF(H20&gt;0,"FAIL", "ABSENT"))</f>
        <v>PASS</v>
      </c>
      <c r="J20" s="9" t="n">
        <f aca="false">F20+H20</f>
        <v>215.5</v>
      </c>
      <c r="K20" s="2" t="str">
        <f aca="false">IF(L20&gt;=50,"PASS",IF(L20&gt;0,"FAIL","ABSENT"))</f>
        <v>PASS</v>
      </c>
      <c r="L20" s="10" t="n">
        <f aca="false">J20/350*100</f>
        <v>61.5714285714286</v>
      </c>
    </row>
    <row r="21" customFormat="false" ht="13.8" hidden="false" customHeight="false" outlineLevel="0" collapsed="false">
      <c r="A21" s="4" t="n">
        <v>3786125</v>
      </c>
      <c r="B21" s="2" t="s">
        <v>44</v>
      </c>
      <c r="C21" s="2" t="s">
        <v>45</v>
      </c>
      <c r="D21" s="2" t="s">
        <v>31</v>
      </c>
      <c r="E21" s="8" t="n">
        <v>46187</v>
      </c>
      <c r="F21" s="2" t="n">
        <v>163.75</v>
      </c>
      <c r="G21" s="2" t="str">
        <f aca="false">IF(F21&gt;=150,"PASS",IF(F21&gt;0,"FAIL", "ABSENT"))</f>
        <v>PASS</v>
      </c>
      <c r="H21" s="2" t="n">
        <v>23</v>
      </c>
      <c r="I21" s="2" t="str">
        <f aca="false">IF(H21&gt;=25,"PASS",IF(H21&gt;0,"FAIL", "ABSENT"))</f>
        <v>FAIL</v>
      </c>
      <c r="J21" s="9" t="n">
        <f aca="false">F21+H21</f>
        <v>186.75</v>
      </c>
      <c r="K21" s="2" t="str">
        <f aca="false">IF(L21&gt;=50,"PASS",IF(L21&gt;0,"FAIL","ABSENT"))</f>
        <v>PASS</v>
      </c>
      <c r="L21" s="10" t="n">
        <f aca="false">J21/350*100</f>
        <v>53.3571428571429</v>
      </c>
    </row>
    <row r="22" customFormat="false" ht="13.8" hidden="false" customHeight="false" outlineLevel="0" collapsed="false">
      <c r="A22" s="4" t="n">
        <v>3786125</v>
      </c>
      <c r="B22" s="2" t="s">
        <v>46</v>
      </c>
      <c r="C22" s="2" t="s">
        <v>47</v>
      </c>
      <c r="D22" s="2" t="s">
        <v>31</v>
      </c>
      <c r="E22" s="8" t="n">
        <v>46187</v>
      </c>
      <c r="F22" s="2" t="n">
        <v>193</v>
      </c>
      <c r="G22" s="2" t="str">
        <f aca="false">IF(F22&gt;=150,"PASS",IF(F22&gt;0,"FAIL", "ABSENT"))</f>
        <v>PASS</v>
      </c>
      <c r="H22" s="2" t="n">
        <v>28</v>
      </c>
      <c r="I22" s="2" t="str">
        <f aca="false">IF(H22&gt;=25,"PASS",IF(H22&gt;0,"FAIL", "ABSENT"))</f>
        <v>PASS</v>
      </c>
      <c r="J22" s="9" t="n">
        <f aca="false">F22+H22</f>
        <v>221</v>
      </c>
      <c r="K22" s="2" t="str">
        <f aca="false">IF(L22&gt;=50,"PASS",IF(L22&gt;0,"FAIL","ABSENT"))</f>
        <v>PASS</v>
      </c>
      <c r="L22" s="10" t="n">
        <f aca="false">J22/350*100</f>
        <v>63.1428571428571</v>
      </c>
    </row>
    <row r="23" customFormat="false" ht="13.8" hidden="false" customHeight="false" outlineLevel="0" collapsed="false">
      <c r="A23" s="4" t="n">
        <v>3786125</v>
      </c>
      <c r="B23" s="2" t="s">
        <v>48</v>
      </c>
      <c r="C23" s="2" t="s">
        <v>49</v>
      </c>
      <c r="D23" s="2" t="s">
        <v>31</v>
      </c>
      <c r="E23" s="8" t="n">
        <v>46187</v>
      </c>
      <c r="F23" s="2" t="n">
        <v>174.25</v>
      </c>
      <c r="G23" s="2" t="str">
        <f aca="false">IF(F23&gt;=150,"PASS",IF(F23&gt;0,"FAIL", "ABSENT"))</f>
        <v>PASS</v>
      </c>
      <c r="H23" s="2" t="n">
        <v>29</v>
      </c>
      <c r="I23" s="2" t="str">
        <f aca="false">IF(H23&gt;=25,"PASS",IF(H23&gt;0,"FAIL", "ABSENT"))</f>
        <v>PASS</v>
      </c>
      <c r="J23" s="9" t="n">
        <f aca="false">F23+H23</f>
        <v>203.25</v>
      </c>
      <c r="K23" s="2" t="str">
        <f aca="false">IF(L23&gt;=50,"PASS",IF(L23&gt;0,"FAIL","ABSENT"))</f>
        <v>PASS</v>
      </c>
      <c r="L23" s="10" t="n">
        <f aca="false">J23/350*100</f>
        <v>58.0714285714286</v>
      </c>
    </row>
    <row r="24" customFormat="false" ht="13.8" hidden="false" customHeight="false" outlineLevel="0" collapsed="false">
      <c r="A24" s="4" t="n">
        <v>3786125</v>
      </c>
      <c r="B24" s="2" t="s">
        <v>50</v>
      </c>
      <c r="C24" s="2" t="s">
        <v>51</v>
      </c>
      <c r="D24" s="2" t="s">
        <v>31</v>
      </c>
      <c r="E24" s="8" t="n">
        <v>46187</v>
      </c>
      <c r="F24" s="2" t="n">
        <v>186.75</v>
      </c>
      <c r="G24" s="2" t="str">
        <f aca="false">IF(F24&gt;=150,"PASS",IF(F24&gt;0,"FAIL", "ABSENT"))</f>
        <v>PASS</v>
      </c>
      <c r="H24" s="2" t="n">
        <v>30</v>
      </c>
      <c r="I24" s="2" t="str">
        <f aca="false">IF(H24&gt;=25,"PASS",IF(H24&gt;0,"FAIL", "ABSENT"))</f>
        <v>PASS</v>
      </c>
      <c r="J24" s="9" t="n">
        <f aca="false">F24+H24</f>
        <v>216.75</v>
      </c>
      <c r="K24" s="2" t="str">
        <f aca="false">IF(L24&gt;=50,"PASS",IF(L24&gt;0,"FAIL","ABSENT"))</f>
        <v>PASS</v>
      </c>
      <c r="L24" s="10" t="n">
        <f aca="false">J24/350*100</f>
        <v>61.9285714285714</v>
      </c>
    </row>
    <row r="25" customFormat="false" ht="13.8" hidden="false" customHeight="false" outlineLevel="0" collapsed="false">
      <c r="A25" s="4" t="n">
        <v>3786125</v>
      </c>
      <c r="B25" s="2" t="s">
        <v>52</v>
      </c>
      <c r="C25" s="2" t="s">
        <v>53</v>
      </c>
      <c r="D25" s="2" t="s">
        <v>31</v>
      </c>
      <c r="E25" s="8" t="n">
        <v>46187</v>
      </c>
      <c r="F25" s="2" t="n">
        <v>195.5</v>
      </c>
      <c r="G25" s="2" t="str">
        <f aca="false">IF(F25&gt;=150,"PASS",IF(F25&gt;0,"FAIL", "ABSENT"))</f>
        <v>PASS</v>
      </c>
      <c r="H25" s="2" t="n">
        <v>28</v>
      </c>
      <c r="I25" s="2" t="str">
        <f aca="false">IF(H25&gt;=25,"PASS",IF(H25&gt;0,"FAIL", "ABSENT"))</f>
        <v>PASS</v>
      </c>
      <c r="J25" s="9" t="n">
        <f aca="false">F25+H25</f>
        <v>223.5</v>
      </c>
      <c r="K25" s="2" t="str">
        <f aca="false">IF(L25&gt;=50,"PASS",IF(L25&gt;0,"FAIL","ABSENT"))</f>
        <v>PASS</v>
      </c>
      <c r="L25" s="10" t="n">
        <f aca="false">J25/350*100</f>
        <v>63.8571428571429</v>
      </c>
    </row>
    <row r="26" customFormat="false" ht="13.8" hidden="false" customHeight="false" outlineLevel="0" collapsed="false">
      <c r="A26" s="4" t="n">
        <v>3786125</v>
      </c>
      <c r="B26" s="2" t="s">
        <v>54</v>
      </c>
      <c r="C26" s="2" t="s">
        <v>55</v>
      </c>
      <c r="D26" s="2" t="s">
        <v>31</v>
      </c>
      <c r="E26" s="8" t="n">
        <v>46187</v>
      </c>
      <c r="F26" s="2" t="n">
        <v>182.5</v>
      </c>
      <c r="G26" s="2" t="str">
        <f aca="false">IF(F26&gt;=150,"PASS",IF(F26&gt;0,"FAIL", "ABSENT"))</f>
        <v>PASS</v>
      </c>
      <c r="H26" s="2" t="n">
        <v>28</v>
      </c>
      <c r="I26" s="2" t="str">
        <f aca="false">IF(H26&gt;=25,"PASS",IF(H26&gt;0,"FAIL", "ABSENT"))</f>
        <v>PASS</v>
      </c>
      <c r="J26" s="9" t="n">
        <f aca="false">F26+H26</f>
        <v>210.5</v>
      </c>
      <c r="K26" s="2" t="str">
        <f aca="false">IF(L26&gt;=50,"PASS",IF(L26&gt;0,"FAIL","ABSENT"))</f>
        <v>PASS</v>
      </c>
      <c r="L26" s="10" t="n">
        <f aca="false">J26/350*100</f>
        <v>60.1428571428571</v>
      </c>
    </row>
    <row r="27" customFormat="false" ht="13.8" hidden="false" customHeight="false" outlineLevel="0" collapsed="false">
      <c r="A27" s="4" t="n">
        <v>3786125</v>
      </c>
      <c r="B27" s="2" t="s">
        <v>56</v>
      </c>
      <c r="C27" s="2" t="s">
        <v>57</v>
      </c>
      <c r="D27" s="2" t="s">
        <v>31</v>
      </c>
      <c r="E27" s="8" t="n">
        <v>46187</v>
      </c>
      <c r="F27" s="2" t="n">
        <v>178.75</v>
      </c>
      <c r="G27" s="2" t="str">
        <f aca="false">IF(F27&gt;=150,"PASS",IF(F27&gt;0,"FAIL", "ABSENT"))</f>
        <v>PASS</v>
      </c>
      <c r="H27" s="2" t="n">
        <v>32</v>
      </c>
      <c r="I27" s="2" t="str">
        <f aca="false">IF(H27&gt;=25,"PASS",IF(H27&gt;0,"FAIL", "ABSENT"))</f>
        <v>PASS</v>
      </c>
      <c r="J27" s="9" t="n">
        <f aca="false">F27+H27</f>
        <v>210.75</v>
      </c>
      <c r="K27" s="2" t="str">
        <f aca="false">IF(L27&gt;=50,"PASS",IF(L27&gt;0,"FAIL","ABSENT"))</f>
        <v>PASS</v>
      </c>
      <c r="L27" s="10" t="n">
        <f aca="false">J27/350*100</f>
        <v>60.2142857142857</v>
      </c>
    </row>
    <row r="28" customFormat="false" ht="13.8" hidden="false" customHeight="false" outlineLevel="0" collapsed="false">
      <c r="A28" s="4" t="n">
        <v>3786125</v>
      </c>
      <c r="B28" s="2" t="s">
        <v>58</v>
      </c>
      <c r="C28" s="2" t="s">
        <v>59</v>
      </c>
      <c r="D28" s="2" t="s">
        <v>31</v>
      </c>
      <c r="E28" s="8" t="n">
        <v>46187</v>
      </c>
      <c r="F28" s="2" t="n">
        <v>201.75</v>
      </c>
      <c r="G28" s="2" t="str">
        <f aca="false">IF(F28&gt;=150,"PASS",IF(F28&gt;0,"FAIL", "ABSENT"))</f>
        <v>PASS</v>
      </c>
      <c r="H28" s="2" t="n">
        <v>33</v>
      </c>
      <c r="I28" s="2" t="str">
        <f aca="false">IF(H28&gt;=25,"PASS",IF(H28&gt;0,"FAIL", "ABSENT"))</f>
        <v>PASS</v>
      </c>
      <c r="J28" s="9" t="n">
        <f aca="false">F28+H28</f>
        <v>234.75</v>
      </c>
      <c r="K28" s="2" t="str">
        <f aca="false">IF(L28&gt;=50,"PASS",IF(L28&gt;0,"FAIL","ABSENT"))</f>
        <v>PASS</v>
      </c>
      <c r="L28" s="10" t="n">
        <f aca="false">J28/350*100</f>
        <v>67.0714285714286</v>
      </c>
    </row>
    <row r="29" customFormat="false" ht="13.8" hidden="false" customHeight="false" outlineLevel="0" collapsed="false">
      <c r="A29" s="4" t="n">
        <v>3786125</v>
      </c>
      <c r="B29" s="2" t="s">
        <v>60</v>
      </c>
      <c r="C29" s="2" t="s">
        <v>61</v>
      </c>
      <c r="D29" s="2" t="s">
        <v>31</v>
      </c>
      <c r="E29" s="8" t="n">
        <v>46187</v>
      </c>
      <c r="F29" s="2" t="n">
        <v>195.5</v>
      </c>
      <c r="G29" s="2" t="str">
        <f aca="false">IF(F29&gt;=150,"PASS",IF(F29&gt;0,"FAIL", "ABSENT"))</f>
        <v>PASS</v>
      </c>
      <c r="H29" s="2" t="n">
        <v>31</v>
      </c>
      <c r="I29" s="2" t="str">
        <f aca="false">IF(H29&gt;=25,"PASS",IF(H29&gt;0,"FAIL", "ABSENT"))</f>
        <v>PASS</v>
      </c>
      <c r="J29" s="9" t="n">
        <f aca="false">F29+H29</f>
        <v>226.5</v>
      </c>
      <c r="K29" s="2" t="str">
        <f aca="false">IF(L29&gt;=50,"PASS",IF(L29&gt;0,"FAIL","ABSENT"))</f>
        <v>PASS</v>
      </c>
      <c r="L29" s="10" t="n">
        <f aca="false">J29/350*100</f>
        <v>64.7142857142857</v>
      </c>
    </row>
    <row r="30" customFormat="false" ht="13.8" hidden="false" customHeight="false" outlineLevel="0" collapsed="false">
      <c r="A30" s="4" t="n">
        <v>3786125</v>
      </c>
      <c r="B30" s="2" t="s">
        <v>62</v>
      </c>
      <c r="C30" s="2" t="s">
        <v>63</v>
      </c>
      <c r="D30" s="2" t="s">
        <v>31</v>
      </c>
      <c r="E30" s="8" t="n">
        <v>46187</v>
      </c>
      <c r="F30" s="2" t="n">
        <v>195.5</v>
      </c>
      <c r="G30" s="2" t="str">
        <f aca="false">IF(F30&gt;=150,"PASS",IF(F30&gt;0,"FAIL", "ABSENT"))</f>
        <v>PASS</v>
      </c>
      <c r="H30" s="2" t="n">
        <v>34</v>
      </c>
      <c r="I30" s="2" t="str">
        <f aca="false">IF(H30&gt;=25,"PASS",IF(H30&gt;0,"FAIL", "ABSENT"))</f>
        <v>PASS</v>
      </c>
      <c r="J30" s="9" t="n">
        <f aca="false">F30+H30</f>
        <v>229.5</v>
      </c>
      <c r="K30" s="2" t="str">
        <f aca="false">IF(L30&gt;=50,"PASS",IF(L30&gt;0,"FAIL","ABSENT"))</f>
        <v>PASS</v>
      </c>
      <c r="L30" s="10" t="n">
        <f aca="false">J30/350*100</f>
        <v>65.5714285714286</v>
      </c>
    </row>
    <row r="31" customFormat="false" ht="13.8" hidden="false" customHeight="false" outlineLevel="0" collapsed="false">
      <c r="A31" s="4" t="n">
        <v>3786125</v>
      </c>
      <c r="B31" s="2" t="s">
        <v>64</v>
      </c>
      <c r="C31" s="2" t="s">
        <v>65</v>
      </c>
      <c r="D31" s="2" t="s">
        <v>31</v>
      </c>
      <c r="E31" s="8" t="n">
        <v>46187</v>
      </c>
      <c r="F31" s="2" t="n">
        <v>184.25</v>
      </c>
      <c r="G31" s="2" t="str">
        <f aca="false">IF(F31&gt;=150,"PASS",IF(F31&gt;0,"FAIL", "ABSENT"))</f>
        <v>PASS</v>
      </c>
      <c r="H31" s="2" t="n">
        <v>28</v>
      </c>
      <c r="I31" s="2" t="str">
        <f aca="false">IF(H31&gt;=25,"PASS",IF(H31&gt;0,"FAIL", "ABSENT"))</f>
        <v>PASS</v>
      </c>
      <c r="J31" s="9" t="n">
        <f aca="false">F31+H31</f>
        <v>212.25</v>
      </c>
      <c r="K31" s="2" t="str">
        <f aca="false">IF(L31&gt;=50,"PASS",IF(L31&gt;0,"FAIL","ABSENT"))</f>
        <v>PASS</v>
      </c>
      <c r="L31" s="10" t="n">
        <f aca="false">J31/350*100</f>
        <v>60.6428571428571</v>
      </c>
    </row>
    <row r="32" customFormat="false" ht="13.8" hidden="false" customHeight="false" outlineLevel="0" collapsed="false">
      <c r="A32" s="4" t="n">
        <v>3786125</v>
      </c>
      <c r="B32" s="2" t="s">
        <v>66</v>
      </c>
      <c r="C32" s="2" t="s">
        <v>67</v>
      </c>
      <c r="D32" s="2" t="s">
        <v>31</v>
      </c>
      <c r="E32" s="8" t="n">
        <v>46187</v>
      </c>
      <c r="F32" s="2" t="n">
        <v>195.5</v>
      </c>
      <c r="G32" s="2" t="str">
        <f aca="false">IF(F32&gt;=150,"PASS",IF(F32&gt;0,"FAIL", "ABSENT"))</f>
        <v>PASS</v>
      </c>
      <c r="H32" s="2" t="n">
        <v>29</v>
      </c>
      <c r="I32" s="2" t="str">
        <f aca="false">IF(H32&gt;=25,"PASS",IF(H32&gt;0,"FAIL", "ABSENT"))</f>
        <v>PASS</v>
      </c>
      <c r="J32" s="9" t="n">
        <f aca="false">F32+H32</f>
        <v>224.5</v>
      </c>
      <c r="K32" s="2" t="str">
        <f aca="false">IF(L32&gt;=50,"PASS",IF(L32&gt;0,"FAIL","ABSENT"))</f>
        <v>PASS</v>
      </c>
      <c r="L32" s="10" t="n">
        <f aca="false">J32/350*100</f>
        <v>64.1428571428571</v>
      </c>
    </row>
    <row r="33" customFormat="false" ht="13.8" hidden="false" customHeight="false" outlineLevel="0" collapsed="false">
      <c r="A33" s="4" t="n">
        <v>3786125</v>
      </c>
      <c r="B33" s="2" t="s">
        <v>68</v>
      </c>
      <c r="C33" s="2" t="s">
        <v>69</v>
      </c>
      <c r="D33" s="2" t="s">
        <v>31</v>
      </c>
      <c r="E33" s="8" t="n">
        <v>46187</v>
      </c>
      <c r="F33" s="2" t="n">
        <v>191.75</v>
      </c>
      <c r="G33" s="2" t="str">
        <f aca="false">IF(F33&gt;=150,"PASS",IF(F33&gt;0,"FAIL", "ABSENT"))</f>
        <v>PASS</v>
      </c>
      <c r="H33" s="2" t="n">
        <v>34</v>
      </c>
      <c r="I33" s="2" t="str">
        <f aca="false">IF(H33&gt;=25,"PASS",IF(H33&gt;0,"FAIL", "ABSENT"))</f>
        <v>PASS</v>
      </c>
      <c r="J33" s="9" t="n">
        <f aca="false">F33+H33</f>
        <v>225.75</v>
      </c>
      <c r="K33" s="2" t="str">
        <f aca="false">IF(L33&gt;=50,"PASS",IF(L33&gt;0,"FAIL","ABSENT"))</f>
        <v>PASS</v>
      </c>
      <c r="L33" s="10" t="n">
        <f aca="false">J33/350*100</f>
        <v>64.5</v>
      </c>
    </row>
    <row r="34" customFormat="false" ht="13.8" hidden="false" customHeight="false" outlineLevel="0" collapsed="false">
      <c r="A34" s="4" t="n">
        <v>3786125</v>
      </c>
      <c r="B34" s="2" t="s">
        <v>70</v>
      </c>
      <c r="C34" s="2" t="s">
        <v>71</v>
      </c>
      <c r="D34" s="2" t="s">
        <v>31</v>
      </c>
      <c r="E34" s="8" t="n">
        <v>46187</v>
      </c>
      <c r="F34" s="2" t="n">
        <v>173.75</v>
      </c>
      <c r="G34" s="2" t="str">
        <f aca="false">IF(F34&gt;=150,"PASS",IF(F34&gt;0,"FAIL", "ABSENT"))</f>
        <v>PASS</v>
      </c>
      <c r="H34" s="2" t="n">
        <v>31</v>
      </c>
      <c r="I34" s="2" t="str">
        <f aca="false">IF(H34&gt;=25,"PASS",IF(H34&gt;0,"FAIL", "ABSENT"))</f>
        <v>PASS</v>
      </c>
      <c r="J34" s="9" t="n">
        <f aca="false">F34+H34</f>
        <v>204.75</v>
      </c>
      <c r="K34" s="2" t="str">
        <f aca="false">IF(L34&gt;=50,"PASS",IF(L34&gt;0,"FAIL","ABSENT"))</f>
        <v>PASS</v>
      </c>
      <c r="L34" s="10" t="n">
        <f aca="false">J34/350*100</f>
        <v>58.5</v>
      </c>
    </row>
    <row r="35" customFormat="false" ht="13.8" hidden="false" customHeight="false" outlineLevel="0" collapsed="false">
      <c r="A35" s="4" t="n">
        <v>3786125</v>
      </c>
      <c r="B35" s="2" t="s">
        <v>72</v>
      </c>
      <c r="C35" s="2" t="s">
        <v>73</v>
      </c>
      <c r="D35" s="2" t="s">
        <v>31</v>
      </c>
      <c r="E35" s="8" t="n">
        <v>46187</v>
      </c>
      <c r="F35" s="2" t="n">
        <v>201.75</v>
      </c>
      <c r="G35" s="2" t="str">
        <f aca="false">IF(F35&gt;=150,"PASS",IF(F35&gt;0,"FAIL", "ABSENT"))</f>
        <v>PASS</v>
      </c>
      <c r="H35" s="2" t="n">
        <v>32</v>
      </c>
      <c r="I35" s="2" t="str">
        <f aca="false">IF(H35&gt;=25,"PASS",IF(H35&gt;0,"FAIL", "ABSENT"))</f>
        <v>PASS</v>
      </c>
      <c r="J35" s="9" t="n">
        <f aca="false">F35+H35</f>
        <v>233.75</v>
      </c>
      <c r="K35" s="2" t="str">
        <f aca="false">IF(L35&gt;=50,"PASS",IF(L35&gt;0,"FAIL","ABSENT"))</f>
        <v>PASS</v>
      </c>
      <c r="L35" s="10" t="n">
        <f aca="false">J35/350*100</f>
        <v>66.7857142857143</v>
      </c>
    </row>
    <row r="36" customFormat="false" ht="13.8" hidden="false" customHeight="false" outlineLevel="0" collapsed="false">
      <c r="A36" s="4" t="n">
        <v>3786125</v>
      </c>
      <c r="B36" s="2" t="s">
        <v>74</v>
      </c>
      <c r="C36" s="2" t="s">
        <v>75</v>
      </c>
      <c r="D36" s="2" t="s">
        <v>31</v>
      </c>
      <c r="E36" s="8" t="n">
        <v>46187</v>
      </c>
      <c r="F36" s="2" t="n">
        <v>180</v>
      </c>
      <c r="G36" s="2" t="str">
        <f aca="false">IF(F36&gt;=150,"PASS",IF(F36&gt;0,"FAIL", "ABSENT"))</f>
        <v>PASS</v>
      </c>
      <c r="H36" s="2" t="n">
        <v>31</v>
      </c>
      <c r="I36" s="2" t="str">
        <f aca="false">IF(H36&gt;=25,"PASS",IF(H36&gt;0,"FAIL", "ABSENT"))</f>
        <v>PASS</v>
      </c>
      <c r="J36" s="9" t="n">
        <f aca="false">F36+H36</f>
        <v>211</v>
      </c>
      <c r="K36" s="2" t="str">
        <f aca="false">IF(L36&gt;=50,"PASS",IF(L36&gt;0,"FAIL","ABSENT"))</f>
        <v>PASS</v>
      </c>
      <c r="L36" s="10" t="n">
        <f aca="false">J36/350*100</f>
        <v>60.2857142857143</v>
      </c>
    </row>
    <row r="37" customFormat="false" ht="13.8" hidden="false" customHeight="false" outlineLevel="0" collapsed="false">
      <c r="A37" s="4" t="n">
        <v>3786125</v>
      </c>
      <c r="B37" s="2" t="s">
        <v>76</v>
      </c>
      <c r="C37" s="2" t="s">
        <v>77</v>
      </c>
      <c r="D37" s="2" t="s">
        <v>31</v>
      </c>
      <c r="E37" s="8" t="n">
        <v>46187</v>
      </c>
      <c r="F37" s="2" t="n">
        <v>176.25</v>
      </c>
      <c r="G37" s="2" t="str">
        <f aca="false">IF(F37&gt;=150,"PASS",IF(F37&gt;0,"FAIL", "ABSENT"))</f>
        <v>PASS</v>
      </c>
      <c r="H37" s="2" t="n">
        <v>33</v>
      </c>
      <c r="I37" s="2" t="str">
        <f aca="false">IF(H37&gt;=25,"PASS",IF(H37&gt;0,"FAIL", "ABSENT"))</f>
        <v>PASS</v>
      </c>
      <c r="J37" s="9" t="n">
        <f aca="false">F37+H37</f>
        <v>209.25</v>
      </c>
      <c r="K37" s="2" t="str">
        <f aca="false">IF(L37&gt;=50,"PASS",IF(L37&gt;0,"FAIL","ABSENT"))</f>
        <v>PASS</v>
      </c>
      <c r="L37" s="10" t="n">
        <f aca="false">J37/350*100</f>
        <v>59.7857142857143</v>
      </c>
    </row>
    <row r="38" customFormat="false" ht="13.8" hidden="false" customHeight="false" outlineLevel="0" collapsed="false">
      <c r="A38" s="4" t="n">
        <v>3786125</v>
      </c>
      <c r="B38" s="2" t="s">
        <v>52</v>
      </c>
      <c r="C38" s="2" t="s">
        <v>78</v>
      </c>
      <c r="D38" s="2" t="s">
        <v>31</v>
      </c>
      <c r="E38" s="8" t="n">
        <v>46187</v>
      </c>
      <c r="F38" s="2" t="n">
        <v>195.5</v>
      </c>
      <c r="G38" s="2" t="str">
        <f aca="false">IF(F38&gt;=150,"PASS",IF(F38&gt;0,"FAIL", "ABSENT"))</f>
        <v>PASS</v>
      </c>
      <c r="H38" s="2" t="n">
        <v>30</v>
      </c>
      <c r="I38" s="2" t="str">
        <f aca="false">IF(H38&gt;=25,"PASS",IF(H38&gt;0,"FAIL", "ABSENT"))</f>
        <v>PASS</v>
      </c>
      <c r="J38" s="9" t="n">
        <f aca="false">F38+H38</f>
        <v>225.5</v>
      </c>
      <c r="K38" s="2" t="str">
        <f aca="false">IF(L38&gt;=50,"PASS",IF(L38&gt;0,"FAIL","ABSENT"))</f>
        <v>PASS</v>
      </c>
      <c r="L38" s="10" t="n">
        <f aca="false">J38/350*100</f>
        <v>64.4285714285714</v>
      </c>
    </row>
    <row r="39" customFormat="false" ht="13.8" hidden="false" customHeight="false" outlineLevel="0" collapsed="false">
      <c r="A39" s="4" t="n">
        <v>3786125</v>
      </c>
      <c r="B39" s="2" t="s">
        <v>79</v>
      </c>
      <c r="C39" s="2" t="s">
        <v>80</v>
      </c>
      <c r="D39" s="2" t="s">
        <v>31</v>
      </c>
      <c r="E39" s="8" t="n">
        <v>46187</v>
      </c>
      <c r="F39" s="2" t="n">
        <v>181.75</v>
      </c>
      <c r="G39" s="2" t="str">
        <f aca="false">IF(F39&gt;=150,"PASS",IF(F39&gt;0,"FAIL", "ABSENT"))</f>
        <v>PASS</v>
      </c>
      <c r="H39" s="2" t="n">
        <v>27</v>
      </c>
      <c r="I39" s="2" t="str">
        <f aca="false">IF(H39&gt;=25,"PASS",IF(H39&gt;0,"FAIL", "ABSENT"))</f>
        <v>PASS</v>
      </c>
      <c r="J39" s="9" t="n">
        <f aca="false">F39+H39</f>
        <v>208.75</v>
      </c>
      <c r="K39" s="2" t="str">
        <f aca="false">IF(L39&gt;=50,"PASS",IF(L39&gt;0,"FAIL","ABSENT"))</f>
        <v>PASS</v>
      </c>
      <c r="L39" s="10" t="n">
        <f aca="false">J39/350*100</f>
        <v>59.6428571428571</v>
      </c>
    </row>
    <row r="40" customFormat="false" ht="13.8" hidden="false" customHeight="false" outlineLevel="0" collapsed="false">
      <c r="A40" s="4" t="n">
        <v>3786125</v>
      </c>
      <c r="B40" s="2" t="s">
        <v>81</v>
      </c>
      <c r="C40" s="2" t="s">
        <v>82</v>
      </c>
      <c r="D40" s="2" t="s">
        <v>31</v>
      </c>
      <c r="E40" s="8" t="n">
        <v>46187</v>
      </c>
      <c r="F40" s="2" t="n">
        <v>170.5</v>
      </c>
      <c r="G40" s="2" t="str">
        <f aca="false">IF(F40&gt;=150,"PASS",IF(F40&gt;0,"FAIL", "ABSENT"))</f>
        <v>PASS</v>
      </c>
      <c r="H40" s="2" t="n">
        <v>29</v>
      </c>
      <c r="I40" s="2" t="str">
        <f aca="false">IF(H40&gt;=25,"PASS",IF(H40&gt;0,"FAIL", "ABSENT"))</f>
        <v>PASS</v>
      </c>
      <c r="J40" s="9" t="n">
        <f aca="false">F40+H40</f>
        <v>199.5</v>
      </c>
      <c r="K40" s="2" t="str">
        <f aca="false">IF(L40&gt;=50,"PASS",IF(L40&gt;0,"FAIL","ABSENT"))</f>
        <v>PASS</v>
      </c>
      <c r="L40" s="10" t="n">
        <f aca="false">J40/350*100</f>
        <v>57</v>
      </c>
    </row>
    <row r="41" customFormat="false" ht="13.8" hidden="false" customHeight="false" outlineLevel="0" collapsed="false">
      <c r="A41" s="4" t="n">
        <v>3786125</v>
      </c>
      <c r="B41" s="2" t="s">
        <v>83</v>
      </c>
      <c r="C41" s="2" t="s">
        <v>84</v>
      </c>
      <c r="D41" s="2" t="s">
        <v>31</v>
      </c>
      <c r="E41" s="8" t="n">
        <v>46187</v>
      </c>
      <c r="F41" s="2" t="n">
        <v>195.5</v>
      </c>
      <c r="G41" s="2" t="str">
        <f aca="false">IF(F41&gt;=150,"PASS",IF(F41&gt;0,"FAIL", "ABSENT"))</f>
        <v>PASS</v>
      </c>
      <c r="H41" s="2" t="n">
        <v>30</v>
      </c>
      <c r="I41" s="2" t="str">
        <f aca="false">IF(H41&gt;=25,"PASS",IF(H41&gt;0,"FAIL", "ABSENT"))</f>
        <v>PASS</v>
      </c>
      <c r="J41" s="9" t="n">
        <f aca="false">F41+H41</f>
        <v>225.5</v>
      </c>
      <c r="K41" s="2" t="str">
        <f aca="false">IF(L41&gt;=50,"PASS",IF(L41&gt;0,"FAIL","ABSENT"))</f>
        <v>PASS</v>
      </c>
      <c r="L41" s="10" t="n">
        <f aca="false">J41/350*100</f>
        <v>64.4285714285714</v>
      </c>
    </row>
    <row r="42" customFormat="false" ht="13.8" hidden="false" customHeight="false" outlineLevel="0" collapsed="false">
      <c r="A42" s="4" t="n">
        <v>3786125</v>
      </c>
      <c r="B42" s="2" t="s">
        <v>85</v>
      </c>
      <c r="C42" s="2" t="s">
        <v>86</v>
      </c>
      <c r="D42" s="2" t="s">
        <v>31</v>
      </c>
      <c r="E42" s="8" t="n">
        <v>46187</v>
      </c>
      <c r="F42" s="2" t="n">
        <v>201.75</v>
      </c>
      <c r="G42" s="2" t="str">
        <f aca="false">IF(F42&gt;=150,"PASS",IF(F42&gt;0,"FAIL", "ABSENT"))</f>
        <v>PASS</v>
      </c>
      <c r="H42" s="2" t="n">
        <v>27</v>
      </c>
      <c r="I42" s="2" t="str">
        <f aca="false">IF(H42&gt;=25,"PASS",IF(H42&gt;0,"FAIL", "ABSENT"))</f>
        <v>PASS</v>
      </c>
      <c r="J42" s="9" t="n">
        <f aca="false">F42+H42</f>
        <v>228.75</v>
      </c>
      <c r="K42" s="2" t="str">
        <f aca="false">IF(L42&gt;=50,"PASS",IF(L42&gt;0,"FAIL","ABSENT"))</f>
        <v>PASS</v>
      </c>
      <c r="L42" s="10" t="n">
        <f aca="false">J42/350*100</f>
        <v>65.3571428571429</v>
      </c>
    </row>
  </sheetData>
  <conditionalFormatting sqref="E14:E42 J14:J42">
    <cfRule type="cellIs" priority="2" operator="equal" aboveAverage="0" equalAverage="0" bottom="0" percent="0" rank="0" text="" dxfId="0">
      <formula>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20" activeCellId="0" sqref="L20"/>
    </sheetView>
  </sheetViews>
  <sheetFormatPr defaultColWidth="8.6796875" defaultRowHeight="13.8" zeroHeight="false" outlineLevelRow="0" outlineLevelCol="0"/>
  <cols>
    <col collapsed="false" customWidth="true" hidden="false" outlineLevel="0" max="1" min="1" style="11" width="15.71"/>
    <col collapsed="false" customWidth="true" hidden="false" outlineLevel="0" max="2" min="2" style="11" width="13"/>
    <col collapsed="false" customWidth="false" hidden="false" outlineLevel="0" max="3" min="3" style="12" width="8.68"/>
    <col collapsed="false" customWidth="true" hidden="false" outlineLevel="0" max="5" min="4" style="11" width="10.85"/>
    <col collapsed="false" customWidth="true" hidden="false" outlineLevel="0" max="6" min="6" style="11" width="10.29"/>
    <col collapsed="false" customWidth="true" hidden="false" outlineLevel="0" max="7" min="7" style="11" width="10.42"/>
    <col collapsed="false" customWidth="false" hidden="false" outlineLevel="0" max="16384" min="8" style="12" width="8.68"/>
  </cols>
  <sheetData>
    <row r="1" customFormat="false" ht="14.25" hidden="false" customHeight="true" outlineLevel="0" collapsed="false">
      <c r="A1" s="13" t="s">
        <v>87</v>
      </c>
      <c r="B1" s="13"/>
      <c r="C1" s="13"/>
      <c r="D1" s="13"/>
      <c r="E1" s="13"/>
      <c r="F1" s="13"/>
      <c r="G1" s="13"/>
    </row>
    <row r="2" customFormat="false" ht="13.8" hidden="false" customHeight="false" outlineLevel="0" collapsed="false">
      <c r="A2" s="14" t="s">
        <v>88</v>
      </c>
      <c r="B2" s="14"/>
      <c r="C2" s="14"/>
      <c r="D2" s="14"/>
      <c r="E2" s="14"/>
      <c r="F2" s="14"/>
      <c r="G2" s="14"/>
    </row>
    <row r="3" customFormat="false" ht="13.8" hidden="false" customHeight="false" outlineLevel="0" collapsed="false">
      <c r="A3" s="15" t="s">
        <v>89</v>
      </c>
      <c r="B3" s="16" t="n">
        <f aca="false">score_sheet!B10</f>
        <v>3786125</v>
      </c>
      <c r="C3" s="16"/>
      <c r="D3" s="16"/>
      <c r="E3" s="16"/>
      <c r="F3" s="16"/>
      <c r="G3" s="16"/>
    </row>
    <row r="4" customFormat="false" ht="24.55" hidden="false" customHeight="false" outlineLevel="0" collapsed="false">
      <c r="A4" s="17" t="s">
        <v>90</v>
      </c>
      <c r="B4" s="18" t="str">
        <f aca="false">score_sheet!B6</f>
        <v>TPA</v>
      </c>
      <c r="C4" s="18"/>
      <c r="D4" s="19" t="s">
        <v>91</v>
      </c>
      <c r="E4" s="20" t="n">
        <v>0.5</v>
      </c>
      <c r="F4" s="20"/>
      <c r="G4" s="20"/>
    </row>
    <row r="5" customFormat="false" ht="13.8" hidden="false" customHeight="false" outlineLevel="0" collapsed="false">
      <c r="A5" s="21" t="s">
        <v>22</v>
      </c>
      <c r="B5" s="22" t="n">
        <f aca="false">score_sheet!E14</f>
        <v>46187</v>
      </c>
      <c r="C5" s="22"/>
      <c r="D5" s="22"/>
      <c r="E5" s="22"/>
      <c r="F5" s="22"/>
      <c r="G5" s="22"/>
    </row>
    <row r="6" customFormat="false" ht="13.8" hidden="false" customHeight="false" outlineLevel="0" collapsed="false">
      <c r="A6" s="23" t="s">
        <v>92</v>
      </c>
      <c r="B6" s="24" t="str">
        <f aca="false">score_sheet!B3</f>
        <v>Domestic Data Entry Operator</v>
      </c>
      <c r="C6" s="25"/>
      <c r="D6" s="26"/>
      <c r="E6" s="26"/>
      <c r="F6" s="26"/>
      <c r="G6" s="27"/>
    </row>
    <row r="7" customFormat="false" ht="14.25" hidden="false" customHeight="true" outlineLevel="0" collapsed="false">
      <c r="A7" s="15" t="s">
        <v>93</v>
      </c>
      <c r="C7" s="23" t="s">
        <v>26</v>
      </c>
      <c r="D7" s="28" t="s">
        <v>94</v>
      </c>
      <c r="E7" s="28"/>
      <c r="F7" s="13" t="s">
        <v>95</v>
      </c>
      <c r="G7" s="13" t="s">
        <v>96</v>
      </c>
    </row>
    <row r="8" customFormat="false" ht="13.8" hidden="false" customHeight="false" outlineLevel="0" collapsed="false">
      <c r="A8" s="15"/>
      <c r="B8" s="29" t="s">
        <v>97</v>
      </c>
      <c r="C8" s="30" t="n">
        <f aca="false">COUNT(score_sheet!L14:L42)</f>
        <v>29</v>
      </c>
      <c r="D8" s="28"/>
      <c r="E8" s="28"/>
      <c r="F8" s="31" t="n">
        <f aca="false">COUNTIF(score_sheet!D14:D42,"M")</f>
        <v>0</v>
      </c>
      <c r="G8" s="31" t="n">
        <f aca="false">COUNTIF(score_sheet!D14:D42,"F")</f>
        <v>29</v>
      </c>
    </row>
    <row r="9" customFormat="false" ht="13.8" hidden="false" customHeight="false" outlineLevel="0" collapsed="false">
      <c r="A9" s="15"/>
      <c r="B9" s="29" t="s">
        <v>98</v>
      </c>
      <c r="C9" s="30" t="n">
        <f aca="false">COUNTIF(score_sheet!K14:K42,"PASS")+COUNTIF(score_sheet!K14:K42,"FAIL")</f>
        <v>29</v>
      </c>
      <c r="D9" s="28"/>
      <c r="E9" s="28"/>
      <c r="F9" s="31" t="n">
        <f aca="false">COUNTIFS(score_sheet!$D$14:$D$42,"M",score_sheet!$K$14:$K$42,"PASS")+COUNTIFS(score_sheet!$D$14:$D$42,"M",score_sheet!$K$14:$K$42,"FAIL")</f>
        <v>0</v>
      </c>
      <c r="G9" s="31" t="n">
        <f aca="false">COUNTIFS(score_sheet!$D$14:$D$42,"F",score_sheet!$K$14:$K$42,"PASS")+COUNTIFS(score_sheet!$D$14:$D$42,"F",score_sheet!$K$14:$K$42,"FAIL")</f>
        <v>29</v>
      </c>
    </row>
    <row r="10" customFormat="false" ht="13.8" hidden="false" customHeight="false" outlineLevel="0" collapsed="false">
      <c r="A10" s="15"/>
      <c r="B10" s="29" t="s">
        <v>99</v>
      </c>
      <c r="C10" s="30" t="n">
        <f aca="false">COUNTIF(score_sheet!K14:K42,"PASS")</f>
        <v>28</v>
      </c>
      <c r="D10" s="28"/>
      <c r="E10" s="28"/>
      <c r="F10" s="31" t="n">
        <f aca="false">COUNTIFS(score_sheet!$D$14:$D$42,"M",score_sheet!$K$14:$K$42,"PASS")</f>
        <v>0</v>
      </c>
      <c r="G10" s="31" t="n">
        <f aca="false">COUNTIFS(score_sheet!$D$14:$D$42,"F",score_sheet!$K$14:$K$42,"PASS")</f>
        <v>28</v>
      </c>
    </row>
    <row r="11" customFormat="false" ht="13.8" hidden="false" customHeight="false" outlineLevel="0" collapsed="false">
      <c r="A11" s="14" t="s">
        <v>100</v>
      </c>
      <c r="B11" s="14"/>
      <c r="C11" s="14"/>
      <c r="D11" s="14"/>
      <c r="E11" s="14"/>
      <c r="F11" s="14"/>
      <c r="G11" s="14"/>
    </row>
    <row r="12" customFormat="false" ht="46.5" hidden="false" customHeight="false" outlineLevel="0" collapsed="false">
      <c r="A12" s="32"/>
      <c r="B12" s="13" t="s">
        <v>101</v>
      </c>
      <c r="C12" s="13" t="s">
        <v>102</v>
      </c>
      <c r="D12" s="13" t="s">
        <v>103</v>
      </c>
      <c r="E12" s="13" t="s">
        <v>104</v>
      </c>
      <c r="F12" s="13" t="s">
        <v>105</v>
      </c>
      <c r="G12" s="13" t="s">
        <v>106</v>
      </c>
    </row>
    <row r="13" customFormat="false" ht="13.8" hidden="false" customHeight="false" outlineLevel="0" collapsed="false">
      <c r="A13" s="33" t="s">
        <v>107</v>
      </c>
      <c r="B13" s="34" t="n">
        <f aca="false">C10/C9*100</f>
        <v>96.551724137931</v>
      </c>
      <c r="C13" s="35" t="n">
        <f aca="false">AVERAGE(score_sheet!F14:F42)</f>
        <v>182.043103448276</v>
      </c>
      <c r="D13" s="35" t="n">
        <f aca="false">MIN(score_sheet!F14:F42)</f>
        <v>83</v>
      </c>
      <c r="E13" s="36" t="n">
        <f aca="false">MAX(score_sheet!F14:F42)</f>
        <v>201.75</v>
      </c>
      <c r="F13" s="37" t="n">
        <f aca="false">MEDIAN(score_sheet!F14:F42)</f>
        <v>184.25</v>
      </c>
      <c r="G13" s="36" t="n">
        <f aca="false">STDEVP(score_sheet!F14:F42)</f>
        <v>21.5199455363124</v>
      </c>
    </row>
    <row r="14" customFormat="false" ht="13.8" hidden="false" customHeight="false" outlineLevel="0" collapsed="false">
      <c r="A14" s="33" t="s">
        <v>108</v>
      </c>
      <c r="B14" s="34" t="n">
        <f aca="false">C10/C9*100</f>
        <v>96.551724137931</v>
      </c>
      <c r="C14" s="35" t="n">
        <f aca="false">AVERAGE(score_sheet!H14:H42)</f>
        <v>29.6896551724138</v>
      </c>
      <c r="D14" s="35" t="n">
        <f aca="false">MIN(score_sheet!H14:H42)</f>
        <v>11</v>
      </c>
      <c r="E14" s="36" t="n">
        <f aca="false">MAX(score_sheet!H14:H42)</f>
        <v>35</v>
      </c>
      <c r="F14" s="37" t="n">
        <f aca="false">MEDIAN(score_sheet!H14:H42)</f>
        <v>30</v>
      </c>
      <c r="G14" s="36" t="n">
        <f aca="false">STDEVP(score_sheet!H14:H42)</f>
        <v>4.41863958059072</v>
      </c>
    </row>
    <row r="15" customFormat="false" ht="13.8" hidden="false" customHeight="false" outlineLevel="0" collapsed="false">
      <c r="A15" s="14" t="s">
        <v>109</v>
      </c>
      <c r="B15" s="14"/>
      <c r="C15" s="14"/>
      <c r="D15" s="14"/>
      <c r="E15" s="14"/>
      <c r="F15" s="14"/>
      <c r="G15" s="14"/>
    </row>
    <row r="16" customFormat="false" ht="13.8" hidden="false" customHeight="false" outlineLevel="0" collapsed="false">
      <c r="A16" s="38"/>
      <c r="B16" s="39" t="n">
        <v>1</v>
      </c>
      <c r="C16" s="39" t="n">
        <v>2</v>
      </c>
      <c r="D16" s="39" t="n">
        <v>3</v>
      </c>
      <c r="E16" s="39" t="n">
        <v>4</v>
      </c>
      <c r="F16" s="39" t="n">
        <v>5</v>
      </c>
      <c r="G16" s="39" t="n">
        <v>6</v>
      </c>
    </row>
    <row r="17" customFormat="false" ht="15" hidden="false" customHeight="true" outlineLevel="0" collapsed="false">
      <c r="A17" s="40" t="s">
        <v>107</v>
      </c>
      <c r="B17" s="41" t="s">
        <v>110</v>
      </c>
      <c r="C17" s="41" t="s">
        <v>111</v>
      </c>
      <c r="D17" s="41" t="s">
        <v>112</v>
      </c>
      <c r="E17" s="41" t="s">
        <v>113</v>
      </c>
      <c r="F17" s="41" t="s">
        <v>114</v>
      </c>
      <c r="G17" s="41" t="s">
        <v>115</v>
      </c>
    </row>
    <row r="18" customFormat="false" ht="15" hidden="false" customHeight="false" outlineLevel="0" collapsed="false">
      <c r="A18" s="40"/>
      <c r="B18" s="41" t="s">
        <v>116</v>
      </c>
      <c r="C18" s="41" t="s">
        <v>117</v>
      </c>
      <c r="D18" s="41" t="s">
        <v>118</v>
      </c>
      <c r="E18" s="41" t="s">
        <v>119</v>
      </c>
      <c r="F18" s="41" t="s">
        <v>120</v>
      </c>
      <c r="G18" s="41" t="s">
        <v>121</v>
      </c>
    </row>
    <row r="19" customFormat="false" ht="15" hidden="false" customHeight="false" outlineLevel="0" collapsed="false">
      <c r="A19" s="40"/>
      <c r="B19" s="41" t="s">
        <v>122</v>
      </c>
      <c r="C19" s="41" t="s">
        <v>123</v>
      </c>
      <c r="D19" s="41" t="s">
        <v>124</v>
      </c>
      <c r="E19" s="41" t="s">
        <v>125</v>
      </c>
      <c r="F19" s="42"/>
      <c r="G19" s="42"/>
    </row>
    <row r="20" customFormat="false" ht="15" hidden="false" customHeight="true" outlineLevel="0" collapsed="false">
      <c r="A20" s="40" t="s">
        <v>108</v>
      </c>
      <c r="B20" s="41" t="s">
        <v>115</v>
      </c>
      <c r="C20" s="41" t="s">
        <v>116</v>
      </c>
      <c r="D20" s="41" t="s">
        <v>117</v>
      </c>
      <c r="E20" s="41" t="s">
        <v>118</v>
      </c>
      <c r="F20" s="41" t="s">
        <v>119</v>
      </c>
      <c r="G20" s="41" t="s">
        <v>120</v>
      </c>
    </row>
    <row r="21" customFormat="false" ht="15" hidden="false" customHeight="false" outlineLevel="0" collapsed="false">
      <c r="A21" s="40"/>
      <c r="B21" s="41" t="s">
        <v>123</v>
      </c>
      <c r="C21" s="41" t="s">
        <v>121</v>
      </c>
      <c r="D21" s="41" t="s">
        <v>122</v>
      </c>
      <c r="E21" s="41" t="s">
        <v>110</v>
      </c>
      <c r="F21" s="41" t="s">
        <v>124</v>
      </c>
      <c r="G21" s="41" t="s">
        <v>111</v>
      </c>
    </row>
    <row r="22" customFormat="false" ht="13.8" hidden="false" customHeight="false" outlineLevel="0" collapsed="false">
      <c r="A22" s="40"/>
      <c r="B22" s="43"/>
      <c r="C22" s="43"/>
      <c r="D22" s="43"/>
      <c r="E22" s="43"/>
      <c r="F22" s="43"/>
      <c r="G22" s="43"/>
    </row>
    <row r="23" customFormat="false" ht="13.8" hidden="false" customHeight="false" outlineLevel="0" collapsed="false">
      <c r="A23" s="14" t="s">
        <v>126</v>
      </c>
      <c r="B23" s="14"/>
      <c r="C23" s="14"/>
      <c r="D23" s="14"/>
      <c r="E23" s="14"/>
      <c r="F23" s="14"/>
      <c r="G23" s="14"/>
    </row>
    <row r="24" customFormat="false" ht="15" hidden="false" customHeight="true" outlineLevel="0" collapsed="false">
      <c r="A24" s="40" t="s">
        <v>107</v>
      </c>
      <c r="B24" s="43"/>
      <c r="C24" s="43"/>
      <c r="D24" s="43"/>
      <c r="E24" s="43"/>
      <c r="F24" s="43"/>
      <c r="G24" s="43"/>
    </row>
    <row r="25" customFormat="false" ht="13.8" hidden="false" customHeight="false" outlineLevel="0" collapsed="false">
      <c r="A25" s="40"/>
      <c r="B25" s="43"/>
      <c r="C25" s="43"/>
      <c r="D25" s="43"/>
      <c r="E25" s="43"/>
      <c r="F25" s="43"/>
      <c r="G25" s="43"/>
    </row>
    <row r="26" customFormat="false" ht="13.8" hidden="false" customHeight="false" outlineLevel="0" collapsed="false">
      <c r="A26" s="40"/>
      <c r="B26" s="43"/>
      <c r="C26" s="43"/>
      <c r="D26" s="43"/>
      <c r="E26" s="43"/>
      <c r="F26" s="43"/>
      <c r="G26" s="43"/>
    </row>
    <row r="27" customFormat="false" ht="15" hidden="false" customHeight="true" outlineLevel="0" collapsed="false">
      <c r="A27" s="40" t="s">
        <v>108</v>
      </c>
      <c r="B27" s="43"/>
      <c r="C27" s="43"/>
      <c r="D27" s="43"/>
      <c r="E27" s="43"/>
      <c r="F27" s="43"/>
      <c r="G27" s="43"/>
    </row>
    <row r="28" customFormat="false" ht="13.8" hidden="false" customHeight="false" outlineLevel="0" collapsed="false">
      <c r="A28" s="40"/>
      <c r="B28" s="43"/>
      <c r="C28" s="43"/>
      <c r="D28" s="43"/>
      <c r="E28" s="43"/>
      <c r="F28" s="43"/>
      <c r="G28" s="43"/>
    </row>
    <row r="29" customFormat="false" ht="13.8" hidden="false" customHeight="false" outlineLevel="0" collapsed="false">
      <c r="A29" s="40"/>
      <c r="B29" s="43"/>
      <c r="C29" s="43"/>
      <c r="D29" s="43"/>
      <c r="E29" s="43"/>
      <c r="F29" s="43"/>
      <c r="G29" s="43"/>
    </row>
    <row r="30" customFormat="false" ht="13.8" hidden="false" customHeight="false" outlineLevel="0" collapsed="false">
      <c r="A30" s="14" t="s">
        <v>127</v>
      </c>
      <c r="B30" s="14"/>
      <c r="C30" s="14"/>
      <c r="D30" s="14"/>
      <c r="E30" s="14"/>
      <c r="F30" s="14"/>
      <c r="G30" s="14"/>
    </row>
    <row r="31" customFormat="false" ht="15" hidden="false" customHeight="true" outlineLevel="0" collapsed="false">
      <c r="A31" s="40" t="s">
        <v>107</v>
      </c>
      <c r="B31" s="43"/>
      <c r="C31" s="43"/>
      <c r="D31" s="43"/>
      <c r="E31" s="43"/>
      <c r="F31" s="43"/>
      <c r="G31" s="43"/>
    </row>
    <row r="32" customFormat="false" ht="13.8" hidden="false" customHeight="false" outlineLevel="0" collapsed="false">
      <c r="A32" s="40"/>
      <c r="B32" s="43"/>
      <c r="C32" s="43"/>
      <c r="D32" s="43"/>
      <c r="E32" s="43"/>
      <c r="F32" s="43"/>
      <c r="G32" s="43"/>
    </row>
    <row r="33" customFormat="false" ht="13.8" hidden="false" customHeight="false" outlineLevel="0" collapsed="false">
      <c r="A33" s="40"/>
      <c r="B33" s="43"/>
      <c r="C33" s="43"/>
      <c r="D33" s="43"/>
      <c r="E33" s="43"/>
      <c r="F33" s="43"/>
      <c r="G33" s="43"/>
    </row>
    <row r="34" customFormat="false" ht="15" hidden="false" customHeight="true" outlineLevel="0" collapsed="false">
      <c r="A34" s="40" t="s">
        <v>108</v>
      </c>
      <c r="B34" s="43"/>
      <c r="C34" s="43"/>
      <c r="D34" s="43"/>
      <c r="E34" s="43"/>
      <c r="F34" s="43"/>
      <c r="G34" s="43"/>
    </row>
    <row r="35" customFormat="false" ht="13.8" hidden="false" customHeight="false" outlineLevel="0" collapsed="false">
      <c r="A35" s="40"/>
      <c r="B35" s="43"/>
      <c r="C35" s="43"/>
      <c r="D35" s="43"/>
      <c r="E35" s="43"/>
      <c r="F35" s="43"/>
      <c r="G35" s="43"/>
    </row>
    <row r="36" customFormat="false" ht="13.8" hidden="false" customHeight="false" outlineLevel="0" collapsed="false">
      <c r="A36" s="40"/>
      <c r="B36" s="43"/>
      <c r="C36" s="43"/>
      <c r="D36" s="43"/>
      <c r="E36" s="43"/>
      <c r="F36" s="43"/>
      <c r="G36" s="43"/>
    </row>
  </sheetData>
  <mergeCells count="18">
    <mergeCell ref="A1:G1"/>
    <mergeCell ref="A2:G2"/>
    <mergeCell ref="B3:G3"/>
    <mergeCell ref="B4:C4"/>
    <mergeCell ref="E4:G4"/>
    <mergeCell ref="B5:G5"/>
    <mergeCell ref="A7:A10"/>
    <mergeCell ref="D7:E10"/>
    <mergeCell ref="A11:G11"/>
    <mergeCell ref="A15:G15"/>
    <mergeCell ref="A17:A19"/>
    <mergeCell ref="A20:A22"/>
    <mergeCell ref="A23:G23"/>
    <mergeCell ref="A24:A26"/>
    <mergeCell ref="A27:A29"/>
    <mergeCell ref="A30:G30"/>
    <mergeCell ref="A31:A33"/>
    <mergeCell ref="A34:A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4" t="s">
        <v>89</v>
      </c>
      <c r="B1" s="45" t="n">
        <f aca="false">score_sheet!B10</f>
        <v>3786125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2015-05-01T13:34:33Z</dcterms:created>
  <dc:creator>Admin</dc:creator>
  <dc:description/>
  <dc:language>en-IN</dc:language>
  <cp:lastModifiedBy/>
  <dcterms:modified xsi:type="dcterms:W3CDTF">2026-06-16T13:12:51Z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