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u\Desktop\Assessment and Design team\Analitics\new analytics work started on 19aug26\"/>
    </mc:Choice>
  </mc:AlternateContent>
  <xr:revisionPtr revIDLastSave="0" documentId="13_ncr:1_{2572F407-D32B-489A-9560-F7923805424C}" xr6:coauthVersionLast="47" xr6:coauthVersionMax="47" xr10:uidLastSave="{00000000-0000-0000-0000-000000000000}"/>
  <bookViews>
    <workbookView xWindow="1455" yWindow="375" windowWidth="10365" windowHeight="10095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score_sheet!$A$13:$R$43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R15" i="1" s="1"/>
  <c r="Q15" i="1" s="1"/>
  <c r="P16" i="1"/>
  <c r="R16" i="1" s="1"/>
  <c r="Q16" i="1" s="1"/>
  <c r="P17" i="1"/>
  <c r="R17" i="1" s="1"/>
  <c r="Q17" i="1" s="1"/>
  <c r="P18" i="1"/>
  <c r="R18" i="1" s="1"/>
  <c r="P19" i="1"/>
  <c r="R19" i="1" s="1"/>
  <c r="Q19" i="1" s="1"/>
  <c r="P20" i="1"/>
  <c r="R20" i="1" s="1"/>
  <c r="Q20" i="1" s="1"/>
  <c r="P21" i="1"/>
  <c r="R21" i="1" s="1"/>
  <c r="Q21" i="1" s="1"/>
  <c r="P22" i="1"/>
  <c r="P23" i="1"/>
  <c r="P24" i="1"/>
  <c r="R24" i="1" s="1"/>
  <c r="Q24" i="1" s="1"/>
  <c r="P25" i="1"/>
  <c r="R25" i="1" s="1"/>
  <c r="Q25" i="1" s="1"/>
  <c r="P26" i="1"/>
  <c r="R26" i="1"/>
  <c r="P27" i="1"/>
  <c r="R27" i="1" s="1"/>
  <c r="Q27" i="1" s="1"/>
  <c r="P28" i="1"/>
  <c r="R28" i="1" s="1"/>
  <c r="Q28" i="1" s="1"/>
  <c r="P29" i="1"/>
  <c r="R29" i="1" s="1"/>
  <c r="Q29" i="1" s="1"/>
  <c r="P30" i="1"/>
  <c r="R30" i="1" s="1"/>
  <c r="P31" i="1"/>
  <c r="R31" i="1" s="1"/>
  <c r="Q31" i="1" s="1"/>
  <c r="P32" i="1"/>
  <c r="R32" i="1" s="1"/>
  <c r="Q32" i="1" s="1"/>
  <c r="P33" i="1"/>
  <c r="R33" i="1" s="1"/>
  <c r="Q33" i="1" s="1"/>
  <c r="P34" i="1"/>
  <c r="R34" i="1"/>
  <c r="P35" i="1"/>
  <c r="R35" i="1"/>
  <c r="Q35" i="1" s="1"/>
  <c r="P36" i="1"/>
  <c r="R36" i="1" s="1"/>
  <c r="Q36" i="1" s="1"/>
  <c r="P37" i="1"/>
  <c r="R37" i="1" s="1"/>
  <c r="Q37" i="1" s="1"/>
  <c r="P38" i="1"/>
  <c r="R38" i="1"/>
  <c r="P39" i="1"/>
  <c r="R39" i="1"/>
  <c r="Q39" i="1" s="1"/>
  <c r="P40" i="1"/>
  <c r="R40" i="1" s="1"/>
  <c r="Q40" i="1" s="1"/>
  <c r="P41" i="1"/>
  <c r="R41" i="1" s="1"/>
  <c r="Q41" i="1" s="1"/>
  <c r="P42" i="1"/>
  <c r="R42" i="1" s="1"/>
  <c r="P43" i="1"/>
  <c r="R43" i="1"/>
  <c r="Q43" i="1" s="1"/>
  <c r="P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M14" i="1"/>
  <c r="K14" i="1"/>
  <c r="I14" i="1"/>
  <c r="G14" i="1"/>
  <c r="R22" i="1" l="1"/>
  <c r="R23" i="1"/>
  <c r="Q23" i="1" s="1"/>
  <c r="Q18" i="1"/>
  <c r="Q34" i="1"/>
  <c r="R14" i="1"/>
  <c r="Q14" i="1" s="1"/>
  <c r="Q26" i="1"/>
  <c r="Q30" i="1"/>
  <c r="Q38" i="1"/>
  <c r="Q42" i="1"/>
  <c r="G17" i="5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Q22" i="1" l="1"/>
  <c r="G10" i="5"/>
  <c r="G9" i="5"/>
  <c r="F10" i="5"/>
  <c r="F9" i="5"/>
  <c r="G8" i="5" l="1"/>
  <c r="G13" i="5" l="1"/>
  <c r="F13" i="5"/>
  <c r="E13" i="5"/>
  <c r="D13" i="5"/>
  <c r="C13" i="5"/>
  <c r="B6" i="5" l="1"/>
  <c r="B5" i="5"/>
  <c r="B4" i="5"/>
  <c r="B3" i="5"/>
  <c r="F8" i="5"/>
  <c r="C8" i="5" l="1"/>
  <c r="B1" i="6"/>
  <c r="C10" i="5" l="1"/>
  <c r="C9" i="5"/>
  <c r="B15" i="5" l="1"/>
  <c r="B17" i="5"/>
  <c r="B14" i="5"/>
  <c r="B16" i="5"/>
  <c r="B13" i="5"/>
</calcChain>
</file>

<file path=xl/sharedStrings.xml><?xml version="1.0" encoding="utf-8"?>
<sst xmlns="http://schemas.openxmlformats.org/spreadsheetml/2006/main" count="228" uniqueCount="143">
  <si>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</si>
  <si>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</si>
  <si>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</si>
  <si>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</si>
  <si>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</si>
  <si>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</si>
  <si>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</si>
  <si>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</si>
  <si>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</si>
  <si>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</si>
  <si>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</si>
  <si>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</si>
  <si>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</si>
  <si>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</si>
  <si>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</si>
  <si>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</si>
  <si>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</si>
  <si>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</si>
  <si>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</si>
  <si>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</si>
  <si>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</si>
  <si>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</si>
  <si>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</si>
  <si>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</si>
  <si>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</si>
  <si>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</si>
  <si>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</si>
  <si>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</si>
  <si>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</si>
  <si>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</si>
  <si>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</si>
  <si>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</si>
  <si>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</si>
  <si>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</si>
  <si>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</si>
  <si>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</si>
  <si>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</si>
  <si>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</si>
  <si>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</si>
  <si>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</si>
  <si>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</si>
  <si>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NA</t>
  </si>
  <si>
    <t>Assessor Name/AR ID</t>
  </si>
  <si>
    <t>Digital Mitra</t>
  </si>
  <si>
    <t>SSC/Q2212</t>
  </si>
  <si>
    <t>SSC/N2204 - Score</t>
  </si>
  <si>
    <t>SSC/N2205 -Score</t>
  </si>
  <si>
    <t>SSC/N2206 - Score</t>
  </si>
  <si>
    <t>SSC/N2207 - Score</t>
  </si>
  <si>
    <t>DGT/VSQ/N0101 -Score</t>
  </si>
  <si>
    <t>SSC/N2204</t>
  </si>
  <si>
    <t>SSC/N2205</t>
  </si>
  <si>
    <t>SSC/N2206</t>
  </si>
  <si>
    <t>SSC/N2207</t>
  </si>
  <si>
    <t>DGT/VSQ/N0101</t>
  </si>
  <si>
    <t>TPA</t>
  </si>
  <si>
    <t>Mahendra skills Training and Development Pvt Ltd</t>
  </si>
  <si>
    <t>Jharkhand</t>
  </si>
  <si>
    <t>Koderama</t>
  </si>
  <si>
    <t>AR16214	 &amp; Akshay Kumar</t>
  </si>
  <si>
    <t>SUNITA KUMARI</t>
  </si>
  <si>
    <t>MUSKAN KUMARI</t>
  </si>
  <si>
    <t>KHUSHI KUMARI</t>
  </si>
  <si>
    <t>ABHISHEK KUMAR MODI</t>
  </si>
  <si>
    <t>SANJU KUMARI</t>
  </si>
  <si>
    <t>SONU KUMAR</t>
  </si>
  <si>
    <t>SURYADEV DAS</t>
  </si>
  <si>
    <t>PRINCE KUMAR DAS</t>
  </si>
  <si>
    <t>SUBHAM KUMAR YADAV</t>
  </si>
  <si>
    <t>SITA KUMARI</t>
  </si>
  <si>
    <t>NISHI KUMARI</t>
  </si>
  <si>
    <t>SACHIN KUMAR</t>
  </si>
  <si>
    <t>VICKY KUMAR</t>
  </si>
  <si>
    <t>SUSHAMA KUMARI</t>
  </si>
  <si>
    <t>LAXMI KUMARI</t>
  </si>
  <si>
    <t>SHRSTI KUMARI</t>
  </si>
  <si>
    <t>RAHUL KUMAR BHUIYAN</t>
  </si>
  <si>
    <t>ARCHANA KUMARI</t>
  </si>
  <si>
    <t>PRIYANKA KUMARI</t>
  </si>
  <si>
    <t>IJMAMUL ANSARI</t>
  </si>
  <si>
    <t>KUNAL PANDIT</t>
  </si>
  <si>
    <t>KHUSHBU KHATOON</t>
  </si>
  <si>
    <t>SUBHASH MEHTA</t>
  </si>
  <si>
    <t>AJIT KUMAR YADAV</t>
  </si>
  <si>
    <t>MD MUSTAFIZ</t>
  </si>
  <si>
    <t>SHAHID ANSARI</t>
  </si>
  <si>
    <t>ALOK KUMAR</t>
  </si>
  <si>
    <t>VASIM ANSARI</t>
  </si>
  <si>
    <t>CAN_040347999</t>
  </si>
  <si>
    <t>CAN_040347998</t>
  </si>
  <si>
    <t>CAN_040347997</t>
  </si>
  <si>
    <t>CAN_040347996</t>
  </si>
  <si>
    <t>CAN_039852224</t>
  </si>
  <si>
    <t>CAN_039852223</t>
  </si>
  <si>
    <t>CAN_039852222</t>
  </si>
  <si>
    <t>CAN_039852221</t>
  </si>
  <si>
    <t>CAN_039852220</t>
  </si>
  <si>
    <t>CAN_039852219</t>
  </si>
  <si>
    <t>CAN_039852218</t>
  </si>
  <si>
    <t>CAN_039852217</t>
  </si>
  <si>
    <t>CAN_039852216</t>
  </si>
  <si>
    <t>CAN_039852215</t>
  </si>
  <si>
    <t>CAN_039852214</t>
  </si>
  <si>
    <t>CAN_039852213</t>
  </si>
  <si>
    <t>CAN_039852212</t>
  </si>
  <si>
    <t>CAN_039852211</t>
  </si>
  <si>
    <t>CAN_039852210</t>
  </si>
  <si>
    <t>CAN_039852209</t>
  </si>
  <si>
    <t>CAN_039852208</t>
  </si>
  <si>
    <t>CAN_039852207</t>
  </si>
  <si>
    <t>CAN_039852206</t>
  </si>
  <si>
    <t>CAN_039852205</t>
  </si>
  <si>
    <t>CAN_039852204</t>
  </si>
  <si>
    <t>CAN_039852203</t>
  </si>
  <si>
    <t>CAN_039852202</t>
  </si>
  <si>
    <t>CAN_039852201</t>
  </si>
  <si>
    <t>CAN_039852200</t>
  </si>
  <si>
    <t>CAN_039852199</t>
  </si>
  <si>
    <t>F</t>
  </si>
  <si>
    <t>M</t>
  </si>
  <si>
    <t>PC10</t>
  </si>
  <si>
    <t>PC14</t>
  </si>
  <si>
    <t>PC20</t>
  </si>
  <si>
    <t>PC23</t>
  </si>
  <si>
    <t>PC27</t>
  </si>
  <si>
    <t>PC7</t>
  </si>
  <si>
    <t>PC19</t>
  </si>
  <si>
    <t>PC24</t>
  </si>
  <si>
    <t>PC1</t>
  </si>
  <si>
    <t>PC6</t>
  </si>
  <si>
    <t>PC12</t>
  </si>
  <si>
    <t>PC15</t>
  </si>
  <si>
    <t>PC18</t>
  </si>
  <si>
    <t>PC11</t>
  </si>
  <si>
    <t>PC4</t>
  </si>
  <si>
    <t>PC8</t>
  </si>
  <si>
    <t>PC16</t>
  </si>
  <si>
    <t>PC22</t>
  </si>
  <si>
    <t>PC2</t>
  </si>
  <si>
    <t>PC5</t>
  </si>
  <si>
    <t>PC21</t>
  </si>
  <si>
    <t>PC3</t>
  </si>
  <si>
    <t>PC9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</si>
</sst>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945024"/>
        <c:axId val="200950912"/>
      </c:barChart>
      <c:catAx>
        <c:axId val="200945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950912"/>
        <c:crosses val="autoZero"/>
        <c:auto val="1"/>
        <c:lblAlgn val="ctr"/>
        <c:lblOffset val="100"/>
        <c:noMultiLvlLbl val="0"/>
      </c:catAx>
      <c:valAx>
        <c:axId val="200950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93.333333333333329</c:v>
                </c:pt>
                <c:pt idx="1">
                  <c:v>93.333333333333329</c:v>
                </c:pt>
                <c:pt idx="2">
                  <c:v>93.333333333333329</c:v>
                </c:pt>
                <c:pt idx="3">
                  <c:v>93.333333333333329</c:v>
                </c:pt>
                <c:pt idx="4">
                  <c:v>93.333333333333329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67.940000000000012</c:v>
                </c:pt>
                <c:pt idx="1">
                  <c:v>62.596666666666657</c:v>
                </c:pt>
                <c:pt idx="2">
                  <c:v>69.443333333333328</c:v>
                </c:pt>
                <c:pt idx="3">
                  <c:v>68.55</c:v>
                </c:pt>
                <c:pt idx="4">
                  <c:v>28.433333333333334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49.7</c:v>
                </c:pt>
                <c:pt idx="1">
                  <c:v>28.1</c:v>
                </c:pt>
                <c:pt idx="2">
                  <c:v>11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81.7</c:v>
                </c:pt>
                <c:pt idx="1">
                  <c:v>76.400000000000006</c:v>
                </c:pt>
                <c:pt idx="2">
                  <c:v>93</c:v>
                </c:pt>
                <c:pt idx="3">
                  <c:v>97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70.7</c:v>
                </c:pt>
                <c:pt idx="1">
                  <c:v>64.8</c:v>
                </c:pt>
                <c:pt idx="2">
                  <c:v>72.5</c:v>
                </c:pt>
                <c:pt idx="3">
                  <c:v>71.5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8.7797342404728642</c:v>
                </c:pt>
                <c:pt idx="1">
                  <c:v>10.751542008268252</c:v>
                </c:pt>
                <c:pt idx="2">
                  <c:v>15.497713451416734</c:v>
                </c:pt>
                <c:pt idx="3">
                  <c:v>13.245999396044098</c:v>
                </c:pt>
                <c:pt idx="4">
                  <c:v>10.772444270245986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39488"/>
        <c:axId val="201449472"/>
      </c:barChart>
      <c:catAx>
        <c:axId val="201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472"/>
        <c:crosses val="autoZero"/>
        <c:auto val="1"/>
        <c:lblAlgn val="ctr"/>
        <c:lblOffset val="100"/>
        <c:noMultiLvlLbl val="0"/>
      </c:catAx>
      <c:valAx>
        <c:axId val="2014494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13</c:v>
                </c:pt>
                <c:pt idx="1">
                  <c:v>13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10112"/>
        <c:axId val="201216000"/>
      </c:barChart>
      <c:catAx>
        <c:axId val="2012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6000"/>
        <c:crosses val="autoZero"/>
        <c:auto val="1"/>
        <c:lblAlgn val="ctr"/>
        <c:lblOffset val="100"/>
        <c:noMultiLvlLbl val="0"/>
      </c:catAx>
      <c:valAx>
        <c:axId val="2012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3"/>
  <sheetViews>
    <sheetView showGridLines="0" tabSelected="1" zoomScale="80" zoomScaleNormal="85" workbookViewId="0">
      <selection activeCell="E5" sqref="E5"/>
    </sheetView>
  </sheetViews>
  <sheetFormatPr defaultColWidth="9.140625" defaultRowHeight="15" x14ac:dyDescent="0.25"/>
  <cols>
    <col min="1" max="1" width="33.140625" bestFit="1" customWidth="1"/>
    <col min="2" max="2" width="31.5703125" customWidth="1"/>
    <col min="3" max="3" width="18" customWidth="1"/>
    <col min="4" max="4" width="10.85546875" bestFit="1" customWidth="1"/>
    <col min="5" max="5" width="16.28515625" bestFit="1" customWidth="1"/>
    <col min="6" max="6" width="13.85546875" customWidth="1"/>
    <col min="7" max="7" width="12.140625" bestFit="1" customWidth="1"/>
    <col min="8" max="8" width="11.7109375" customWidth="1"/>
    <col min="9" max="9" width="12.140625" bestFit="1" customWidth="1"/>
    <col min="10" max="10" width="12.7109375" customWidth="1"/>
    <col min="11" max="11" width="12.140625" bestFit="1" customWidth="1"/>
    <col min="12" max="12" width="12.42578125" customWidth="1"/>
    <col min="13" max="13" width="12.140625" bestFit="1" customWidth="1"/>
    <col min="14" max="14" width="11.5703125" customWidth="1"/>
    <col min="15" max="15" width="12.140625" bestFit="1" customWidth="1"/>
    <col min="16" max="16" width="13.28515625" customWidth="1"/>
    <col min="17" max="17" width="15.85546875" bestFit="1" customWidth="1"/>
    <col min="18" max="18" width="12.42578125" bestFit="1" customWidth="1"/>
  </cols>
  <sheetData>
    <row r="1" spans="1:18" x14ac:dyDescent="0.25">
      <c r="A1" s="24" t="s">
        <v>0</v>
      </c>
      <c r="B1" s="24" t="s">
        <v>40</v>
      </c>
    </row>
    <row r="2" spans="1:18" ht="30" x14ac:dyDescent="0.25">
      <c r="A2" s="24" t="s">
        <v>1</v>
      </c>
      <c r="B2" s="25" t="s">
        <v>56</v>
      </c>
    </row>
    <row r="3" spans="1:18" x14ac:dyDescent="0.25">
      <c r="A3" s="24" t="s">
        <v>2</v>
      </c>
      <c r="B3" s="25" t="s">
        <v>43</v>
      </c>
    </row>
    <row r="4" spans="1:18" x14ac:dyDescent="0.25">
      <c r="A4" s="24" t="s">
        <v>34</v>
      </c>
      <c r="B4" s="24" t="s">
        <v>44</v>
      </c>
    </row>
    <row r="5" spans="1:18" x14ac:dyDescent="0.25">
      <c r="A5" s="24" t="s">
        <v>42</v>
      </c>
      <c r="B5" s="24" t="s">
        <v>59</v>
      </c>
    </row>
    <row r="6" spans="1:18" x14ac:dyDescent="0.25">
      <c r="A6" s="24" t="s">
        <v>35</v>
      </c>
      <c r="B6" s="24" t="s">
        <v>55</v>
      </c>
    </row>
    <row r="7" spans="1:18" x14ac:dyDescent="0.25">
      <c r="A7" s="24" t="s">
        <v>3</v>
      </c>
      <c r="B7" s="24" t="s">
        <v>57</v>
      </c>
    </row>
    <row r="8" spans="1:18" x14ac:dyDescent="0.25">
      <c r="A8" s="24" t="s">
        <v>4</v>
      </c>
      <c r="B8" s="24" t="s">
        <v>58</v>
      </c>
    </row>
    <row r="9" spans="1:18" x14ac:dyDescent="0.25">
      <c r="A9" s="24" t="s">
        <v>36</v>
      </c>
      <c r="B9" s="24" t="s">
        <v>41</v>
      </c>
    </row>
    <row r="10" spans="1:18" x14ac:dyDescent="0.25">
      <c r="A10" s="24" t="s">
        <v>5</v>
      </c>
      <c r="B10" s="24">
        <v>3790062</v>
      </c>
    </row>
    <row r="11" spans="1:18" x14ac:dyDescent="0.25">
      <c r="A11" s="26"/>
      <c r="B11" s="26"/>
    </row>
    <row r="13" spans="1:18" ht="30" x14ac:dyDescent="0.25">
      <c r="A13" s="27" t="s">
        <v>5</v>
      </c>
      <c r="B13" s="27" t="s">
        <v>6</v>
      </c>
      <c r="C13" s="27" t="s">
        <v>8</v>
      </c>
      <c r="D13" s="27" t="s">
        <v>28</v>
      </c>
      <c r="E13" s="27" t="s">
        <v>7</v>
      </c>
      <c r="F13" s="28" t="s">
        <v>45</v>
      </c>
      <c r="G13" s="28" t="s">
        <v>29</v>
      </c>
      <c r="H13" s="28" t="s">
        <v>46</v>
      </c>
      <c r="I13" s="28" t="s">
        <v>29</v>
      </c>
      <c r="J13" s="28" t="s">
        <v>47</v>
      </c>
      <c r="K13" s="28" t="s">
        <v>29</v>
      </c>
      <c r="L13" s="28" t="s">
        <v>48</v>
      </c>
      <c r="M13" s="28" t="s">
        <v>29</v>
      </c>
      <c r="N13" s="28" t="s">
        <v>49</v>
      </c>
      <c r="O13" s="28" t="s">
        <v>29</v>
      </c>
      <c r="P13" s="28" t="s">
        <v>16</v>
      </c>
      <c r="Q13" s="28" t="s">
        <v>30</v>
      </c>
      <c r="R13" s="28" t="s">
        <v>24</v>
      </c>
    </row>
    <row r="14" spans="1:18" x14ac:dyDescent="0.25">
      <c r="A14" s="29">
        <v>3790062</v>
      </c>
      <c r="B14" s="30" t="s">
        <v>60</v>
      </c>
      <c r="C14" s="30" t="s">
        <v>88</v>
      </c>
      <c r="D14" s="30" t="s">
        <v>118</v>
      </c>
      <c r="E14" s="31">
        <v>46178</v>
      </c>
      <c r="F14" s="30">
        <v>72.7</v>
      </c>
      <c r="G14" s="24" t="str">
        <f>IF(F14&gt;=50,"PASS",IF(F14&gt;0,"FAIL", "ABSENT"))</f>
        <v>PASS</v>
      </c>
      <c r="H14" s="30">
        <v>70.2</v>
      </c>
      <c r="I14" s="24" t="str">
        <f>IF(H14&gt;=50,"PASS",IF(H14&gt;0,"FAIL", "ABSENT"))</f>
        <v>PASS</v>
      </c>
      <c r="J14" s="30">
        <v>79.5</v>
      </c>
      <c r="K14" s="24" t="str">
        <f>IF(J14&gt;=50,"PASS",IF(J14&gt;0,"FAIL", "ABSENT"))</f>
        <v>PASS</v>
      </c>
      <c r="L14" s="30">
        <v>73</v>
      </c>
      <c r="M14" s="24" t="str">
        <f>IF(L14&gt;=50,"PASS",IF(L14&gt;0,"FAIL", "ABSENT"))</f>
        <v>PASS</v>
      </c>
      <c r="N14" s="30">
        <v>33</v>
      </c>
      <c r="O14" s="24" t="str">
        <f>IF(N14&gt;=25,"PASS",IF(N14&gt;0,"FAIL", "ABSENT"))</f>
        <v>PASS</v>
      </c>
      <c r="P14" s="29">
        <f>F14+H14+J14+L14+N14</f>
        <v>328.4</v>
      </c>
      <c r="Q14" s="24" t="str">
        <f>IF(R14&gt;=50,"PASS",IF(R14&gt;0,"FAIL","ABSENT"))</f>
        <v>PASS</v>
      </c>
      <c r="R14" s="32">
        <f>P14/450*100</f>
        <v>72.977777777777774</v>
      </c>
    </row>
    <row r="15" spans="1:18" x14ac:dyDescent="0.25">
      <c r="A15" s="29">
        <v>3790062</v>
      </c>
      <c r="B15" s="30" t="s">
        <v>61</v>
      </c>
      <c r="C15" s="30" t="s">
        <v>89</v>
      </c>
      <c r="D15" s="30" t="s">
        <v>118</v>
      </c>
      <c r="E15" s="31">
        <v>46178</v>
      </c>
      <c r="F15" s="30">
        <v>62.9</v>
      </c>
      <c r="G15" s="24" t="str">
        <f t="shared" ref="G15:G43" si="0">IF(F15&gt;=50,"PASS",IF(F15&gt;0,"FAIL", "ABSENT"))</f>
        <v>PASS</v>
      </c>
      <c r="H15" s="30">
        <v>68</v>
      </c>
      <c r="I15" s="24" t="str">
        <f t="shared" ref="I15:I43" si="1">IF(H15&gt;=50,"PASS",IF(H15&gt;0,"FAIL", "ABSENT"))</f>
        <v>PASS</v>
      </c>
      <c r="J15" s="30">
        <v>72</v>
      </c>
      <c r="K15" s="24" t="str">
        <f t="shared" ref="K15:K43" si="2">IF(J15&gt;=50,"PASS",IF(J15&gt;0,"FAIL", "ABSENT"))</f>
        <v>PASS</v>
      </c>
      <c r="L15" s="30">
        <v>77.900000000000006</v>
      </c>
      <c r="M15" s="24" t="str">
        <f t="shared" ref="M15:M43" si="3">IF(L15&gt;=50,"PASS",IF(L15&gt;0,"FAIL", "ABSENT"))</f>
        <v>PASS</v>
      </c>
      <c r="N15" s="30">
        <v>33</v>
      </c>
      <c r="O15" s="24" t="str">
        <f t="shared" ref="O15:O43" si="4">IF(N15&gt;=25,"PASS",IF(N15&gt;0,"FAIL", "ABSENT"))</f>
        <v>PASS</v>
      </c>
      <c r="P15" s="29">
        <f t="shared" ref="P15:P43" si="5">F15+H15+J15+L15+N15</f>
        <v>313.8</v>
      </c>
      <c r="Q15" s="24" t="str">
        <f t="shared" ref="Q15:Q43" si="6">IF(R15&gt;=50,"PASS",IF(R15&gt;0,"FAIL","ABSENT"))</f>
        <v>PASS</v>
      </c>
      <c r="R15" s="32">
        <f t="shared" ref="R15:R43" si="7">P15/450*100</f>
        <v>69.733333333333334</v>
      </c>
    </row>
    <row r="16" spans="1:18" x14ac:dyDescent="0.25">
      <c r="A16" s="29">
        <v>3790062</v>
      </c>
      <c r="B16" s="30" t="s">
        <v>62</v>
      </c>
      <c r="C16" s="30" t="s">
        <v>90</v>
      </c>
      <c r="D16" s="30" t="s">
        <v>118</v>
      </c>
      <c r="E16" s="31">
        <v>46178</v>
      </c>
      <c r="F16" s="30">
        <v>52.1</v>
      </c>
      <c r="G16" s="24" t="str">
        <f t="shared" si="0"/>
        <v>PASS</v>
      </c>
      <c r="H16" s="30">
        <v>70.2</v>
      </c>
      <c r="I16" s="24" t="str">
        <f t="shared" si="1"/>
        <v>PASS</v>
      </c>
      <c r="J16" s="30">
        <v>75.5</v>
      </c>
      <c r="K16" s="24" t="str">
        <f t="shared" si="2"/>
        <v>PASS</v>
      </c>
      <c r="L16" s="30">
        <v>69</v>
      </c>
      <c r="M16" s="24" t="str">
        <f t="shared" si="3"/>
        <v>PASS</v>
      </c>
      <c r="N16" s="30">
        <v>26</v>
      </c>
      <c r="O16" s="24" t="str">
        <f t="shared" si="4"/>
        <v>PASS</v>
      </c>
      <c r="P16" s="29">
        <f t="shared" si="5"/>
        <v>292.8</v>
      </c>
      <c r="Q16" s="24" t="str">
        <f t="shared" si="6"/>
        <v>PASS</v>
      </c>
      <c r="R16" s="32">
        <f t="shared" si="7"/>
        <v>65.066666666666677</v>
      </c>
    </row>
    <row r="17" spans="1:18" x14ac:dyDescent="0.25">
      <c r="A17" s="29">
        <v>3790062</v>
      </c>
      <c r="B17" s="30" t="s">
        <v>61</v>
      </c>
      <c r="C17" s="30" t="s">
        <v>91</v>
      </c>
      <c r="D17" s="30" t="s">
        <v>118</v>
      </c>
      <c r="E17" s="31">
        <v>46178</v>
      </c>
      <c r="F17" s="30">
        <v>56.9</v>
      </c>
      <c r="G17" s="24" t="str">
        <f t="shared" si="0"/>
        <v>PASS</v>
      </c>
      <c r="H17" s="30">
        <v>64.599999999999994</v>
      </c>
      <c r="I17" s="24" t="str">
        <f t="shared" si="1"/>
        <v>PASS</v>
      </c>
      <c r="J17" s="30">
        <v>84.5</v>
      </c>
      <c r="K17" s="24" t="str">
        <f t="shared" si="2"/>
        <v>PASS</v>
      </c>
      <c r="L17" s="30">
        <v>71</v>
      </c>
      <c r="M17" s="24" t="str">
        <f t="shared" si="3"/>
        <v>PASS</v>
      </c>
      <c r="N17" s="30">
        <v>26</v>
      </c>
      <c r="O17" s="24" t="str">
        <f t="shared" si="4"/>
        <v>PASS</v>
      </c>
      <c r="P17" s="29">
        <f t="shared" si="5"/>
        <v>303</v>
      </c>
      <c r="Q17" s="24" t="str">
        <f t="shared" si="6"/>
        <v>PASS</v>
      </c>
      <c r="R17" s="32">
        <f t="shared" si="7"/>
        <v>67.333333333333329</v>
      </c>
    </row>
    <row r="18" spans="1:18" x14ac:dyDescent="0.25">
      <c r="A18" s="29">
        <v>3790062</v>
      </c>
      <c r="B18" s="30" t="s">
        <v>63</v>
      </c>
      <c r="C18" s="30" t="s">
        <v>92</v>
      </c>
      <c r="D18" s="30" t="s">
        <v>118</v>
      </c>
      <c r="E18" s="31">
        <v>46178</v>
      </c>
      <c r="F18" s="30">
        <v>49.7</v>
      </c>
      <c r="G18" s="24" t="str">
        <f t="shared" si="0"/>
        <v>FAIL</v>
      </c>
      <c r="H18" s="30">
        <v>71.400000000000006</v>
      </c>
      <c r="I18" s="24" t="str">
        <f t="shared" si="1"/>
        <v>PASS</v>
      </c>
      <c r="J18" s="30">
        <v>75.900000000000006</v>
      </c>
      <c r="K18" s="24" t="str">
        <f t="shared" si="2"/>
        <v>PASS</v>
      </c>
      <c r="L18" s="30">
        <v>76</v>
      </c>
      <c r="M18" s="24" t="str">
        <f t="shared" si="3"/>
        <v>PASS</v>
      </c>
      <c r="N18" s="30">
        <v>39</v>
      </c>
      <c r="O18" s="24" t="str">
        <f t="shared" si="4"/>
        <v>PASS</v>
      </c>
      <c r="P18" s="29">
        <f t="shared" si="5"/>
        <v>312</v>
      </c>
      <c r="Q18" s="24" t="str">
        <f t="shared" si="6"/>
        <v>PASS</v>
      </c>
      <c r="R18" s="32">
        <f t="shared" si="7"/>
        <v>69.333333333333343</v>
      </c>
    </row>
    <row r="19" spans="1:18" x14ac:dyDescent="0.25">
      <c r="A19" s="29">
        <v>3790062</v>
      </c>
      <c r="B19" s="30" t="s">
        <v>64</v>
      </c>
      <c r="C19" s="30" t="s">
        <v>93</v>
      </c>
      <c r="D19" s="30" t="s">
        <v>118</v>
      </c>
      <c r="E19" s="31">
        <v>46178</v>
      </c>
      <c r="F19" s="30">
        <v>80.7</v>
      </c>
      <c r="G19" s="24" t="str">
        <f t="shared" si="0"/>
        <v>PASS</v>
      </c>
      <c r="H19" s="30">
        <v>57.4</v>
      </c>
      <c r="I19" s="24" t="str">
        <f t="shared" si="1"/>
        <v>PASS</v>
      </c>
      <c r="J19" s="30">
        <v>75</v>
      </c>
      <c r="K19" s="24" t="str">
        <f t="shared" si="2"/>
        <v>PASS</v>
      </c>
      <c r="L19" s="30">
        <v>67</v>
      </c>
      <c r="M19" s="24" t="str">
        <f t="shared" si="3"/>
        <v>PASS</v>
      </c>
      <c r="N19" s="30">
        <v>32</v>
      </c>
      <c r="O19" s="24" t="str">
        <f t="shared" si="4"/>
        <v>PASS</v>
      </c>
      <c r="P19" s="29">
        <f t="shared" si="5"/>
        <v>312.10000000000002</v>
      </c>
      <c r="Q19" s="24" t="str">
        <f t="shared" si="6"/>
        <v>PASS</v>
      </c>
      <c r="R19" s="32">
        <f t="shared" si="7"/>
        <v>69.355555555555554</v>
      </c>
    </row>
    <row r="20" spans="1:18" x14ac:dyDescent="0.25">
      <c r="A20" s="29">
        <v>3790062</v>
      </c>
      <c r="B20" s="30" t="s">
        <v>65</v>
      </c>
      <c r="C20" s="30" t="s">
        <v>94</v>
      </c>
      <c r="D20" s="30" t="s">
        <v>119</v>
      </c>
      <c r="E20" s="31">
        <v>46178</v>
      </c>
      <c r="F20" s="30">
        <v>63</v>
      </c>
      <c r="G20" s="24" t="str">
        <f t="shared" si="0"/>
        <v>PASS</v>
      </c>
      <c r="H20" s="30">
        <v>67</v>
      </c>
      <c r="I20" s="24" t="str">
        <f t="shared" si="1"/>
        <v>PASS</v>
      </c>
      <c r="J20" s="30">
        <v>62.5</v>
      </c>
      <c r="K20" s="24" t="str">
        <f t="shared" si="2"/>
        <v>PASS</v>
      </c>
      <c r="L20" s="30">
        <v>46</v>
      </c>
      <c r="M20" s="24" t="str">
        <f t="shared" si="3"/>
        <v>FAIL</v>
      </c>
      <c r="N20" s="30">
        <v>38</v>
      </c>
      <c r="O20" s="24" t="str">
        <f t="shared" si="4"/>
        <v>PASS</v>
      </c>
      <c r="P20" s="29">
        <f t="shared" si="5"/>
        <v>276.5</v>
      </c>
      <c r="Q20" s="24" t="str">
        <f t="shared" si="6"/>
        <v>PASS</v>
      </c>
      <c r="R20" s="32">
        <f t="shared" si="7"/>
        <v>61.444444444444443</v>
      </c>
    </row>
    <row r="21" spans="1:18" x14ac:dyDescent="0.25">
      <c r="A21" s="29">
        <v>3790062</v>
      </c>
      <c r="B21" s="30" t="s">
        <v>66</v>
      </c>
      <c r="C21" s="30" t="s">
        <v>95</v>
      </c>
      <c r="D21" s="30" t="s">
        <v>119</v>
      </c>
      <c r="E21" s="31">
        <v>46178</v>
      </c>
      <c r="F21" s="30">
        <v>66.099999999999994</v>
      </c>
      <c r="G21" s="24" t="str">
        <f t="shared" si="0"/>
        <v>PASS</v>
      </c>
      <c r="H21" s="30">
        <v>65</v>
      </c>
      <c r="I21" s="24" t="str">
        <f t="shared" si="1"/>
        <v>PASS</v>
      </c>
      <c r="J21" s="30">
        <v>72.7</v>
      </c>
      <c r="K21" s="24" t="str">
        <f t="shared" si="2"/>
        <v>PASS</v>
      </c>
      <c r="L21" s="30">
        <v>72</v>
      </c>
      <c r="M21" s="24" t="str">
        <f t="shared" si="3"/>
        <v>PASS</v>
      </c>
      <c r="N21" s="30">
        <v>34</v>
      </c>
      <c r="O21" s="24" t="str">
        <f t="shared" si="4"/>
        <v>PASS</v>
      </c>
      <c r="P21" s="29">
        <f t="shared" si="5"/>
        <v>309.8</v>
      </c>
      <c r="Q21" s="24" t="str">
        <f t="shared" si="6"/>
        <v>PASS</v>
      </c>
      <c r="R21" s="32">
        <f t="shared" si="7"/>
        <v>68.844444444444434</v>
      </c>
    </row>
    <row r="22" spans="1:18" x14ac:dyDescent="0.25">
      <c r="A22" s="29">
        <v>3790062</v>
      </c>
      <c r="B22" s="30" t="s">
        <v>67</v>
      </c>
      <c r="C22" s="30" t="s">
        <v>96</v>
      </c>
      <c r="D22" s="30" t="s">
        <v>119</v>
      </c>
      <c r="E22" s="31">
        <v>46178</v>
      </c>
      <c r="F22" s="30">
        <v>66.8</v>
      </c>
      <c r="G22" s="24" t="str">
        <f t="shared" si="0"/>
        <v>PASS</v>
      </c>
      <c r="H22" s="30">
        <v>71.400000000000006</v>
      </c>
      <c r="I22" s="24" t="str">
        <f t="shared" si="1"/>
        <v>PASS</v>
      </c>
      <c r="J22" s="30">
        <v>73.7</v>
      </c>
      <c r="K22" s="24" t="str">
        <f t="shared" si="2"/>
        <v>PASS</v>
      </c>
      <c r="L22" s="30">
        <v>77</v>
      </c>
      <c r="M22" s="24" t="str">
        <f t="shared" si="3"/>
        <v>PASS</v>
      </c>
      <c r="N22" s="30">
        <v>33</v>
      </c>
      <c r="O22" s="24" t="str">
        <f t="shared" si="4"/>
        <v>PASS</v>
      </c>
      <c r="P22" s="29">
        <f t="shared" si="5"/>
        <v>321.89999999999998</v>
      </c>
      <c r="Q22" s="24" t="str">
        <f t="shared" si="6"/>
        <v>PASS</v>
      </c>
      <c r="R22" s="32">
        <f t="shared" si="7"/>
        <v>71.533333333333331</v>
      </c>
    </row>
    <row r="23" spans="1:18" x14ac:dyDescent="0.25">
      <c r="A23" s="29">
        <v>3790062</v>
      </c>
      <c r="B23" s="30" t="s">
        <v>68</v>
      </c>
      <c r="C23" s="30" t="s">
        <v>97</v>
      </c>
      <c r="D23" s="30" t="s">
        <v>119</v>
      </c>
      <c r="E23" s="31">
        <v>46178</v>
      </c>
      <c r="F23" s="30">
        <v>68.5</v>
      </c>
      <c r="G23" s="24" t="str">
        <f t="shared" si="0"/>
        <v>PASS</v>
      </c>
      <c r="H23" s="30">
        <v>73.400000000000006</v>
      </c>
      <c r="I23" s="24" t="str">
        <f t="shared" si="1"/>
        <v>PASS</v>
      </c>
      <c r="J23" s="30">
        <v>65.7</v>
      </c>
      <c r="K23" s="24" t="str">
        <f t="shared" si="2"/>
        <v>PASS</v>
      </c>
      <c r="L23" s="30">
        <v>77</v>
      </c>
      <c r="M23" s="24" t="str">
        <f t="shared" si="3"/>
        <v>PASS</v>
      </c>
      <c r="N23" s="30">
        <v>31</v>
      </c>
      <c r="O23" s="24" t="str">
        <f t="shared" si="4"/>
        <v>PASS</v>
      </c>
      <c r="P23" s="29">
        <f t="shared" si="5"/>
        <v>315.60000000000002</v>
      </c>
      <c r="Q23" s="24" t="str">
        <f t="shared" si="6"/>
        <v>PASS</v>
      </c>
      <c r="R23" s="32">
        <f t="shared" si="7"/>
        <v>70.13333333333334</v>
      </c>
    </row>
    <row r="24" spans="1:18" x14ac:dyDescent="0.25">
      <c r="A24" s="29">
        <v>3790062</v>
      </c>
      <c r="B24" s="30" t="s">
        <v>69</v>
      </c>
      <c r="C24" s="30" t="s">
        <v>98</v>
      </c>
      <c r="D24" s="30" t="s">
        <v>118</v>
      </c>
      <c r="E24" s="31">
        <v>46178</v>
      </c>
      <c r="F24" s="30">
        <v>73.900000000000006</v>
      </c>
      <c r="G24" s="24" t="str">
        <f t="shared" si="0"/>
        <v>PASS</v>
      </c>
      <c r="H24" s="30">
        <v>73.400000000000006</v>
      </c>
      <c r="I24" s="24" t="str">
        <f t="shared" si="1"/>
        <v>PASS</v>
      </c>
      <c r="J24" s="30">
        <v>68.7</v>
      </c>
      <c r="K24" s="24" t="str">
        <f t="shared" si="2"/>
        <v>PASS</v>
      </c>
      <c r="L24" s="30">
        <v>55.6</v>
      </c>
      <c r="M24" s="24" t="str">
        <f t="shared" si="3"/>
        <v>PASS</v>
      </c>
      <c r="N24" s="30">
        <v>19</v>
      </c>
      <c r="O24" s="24" t="str">
        <f t="shared" si="4"/>
        <v>FAIL</v>
      </c>
      <c r="P24" s="29">
        <f t="shared" si="5"/>
        <v>290.60000000000002</v>
      </c>
      <c r="Q24" s="24" t="str">
        <f t="shared" si="6"/>
        <v>PASS</v>
      </c>
      <c r="R24" s="32">
        <f t="shared" si="7"/>
        <v>64.577777777777783</v>
      </c>
    </row>
    <row r="25" spans="1:18" x14ac:dyDescent="0.25">
      <c r="A25" s="29">
        <v>3790062</v>
      </c>
      <c r="B25" s="30" t="s">
        <v>70</v>
      </c>
      <c r="C25" s="30" t="s">
        <v>99</v>
      </c>
      <c r="D25" s="30" t="s">
        <v>118</v>
      </c>
      <c r="E25" s="31">
        <v>46178</v>
      </c>
      <c r="F25" s="30">
        <v>78.900000000000006</v>
      </c>
      <c r="G25" s="24" t="str">
        <f t="shared" si="0"/>
        <v>PASS</v>
      </c>
      <c r="H25" s="30">
        <v>76.400000000000006</v>
      </c>
      <c r="I25" s="24" t="str">
        <f t="shared" si="1"/>
        <v>PASS</v>
      </c>
      <c r="J25" s="30">
        <v>55.5</v>
      </c>
      <c r="K25" s="24" t="str">
        <f t="shared" si="2"/>
        <v>PASS</v>
      </c>
      <c r="L25" s="30">
        <v>69</v>
      </c>
      <c r="M25" s="24" t="str">
        <f t="shared" si="3"/>
        <v>PASS</v>
      </c>
      <c r="N25" s="30">
        <v>18</v>
      </c>
      <c r="O25" s="24" t="str">
        <f t="shared" si="4"/>
        <v>FAIL</v>
      </c>
      <c r="P25" s="29">
        <f t="shared" si="5"/>
        <v>297.8</v>
      </c>
      <c r="Q25" s="24" t="str">
        <f t="shared" si="6"/>
        <v>PASS</v>
      </c>
      <c r="R25" s="32">
        <f t="shared" si="7"/>
        <v>66.177777777777777</v>
      </c>
    </row>
    <row r="26" spans="1:18" x14ac:dyDescent="0.25">
      <c r="A26" s="29">
        <v>3790062</v>
      </c>
      <c r="B26" s="30" t="s">
        <v>71</v>
      </c>
      <c r="C26" s="30" t="s">
        <v>100</v>
      </c>
      <c r="D26" s="30" t="s">
        <v>119</v>
      </c>
      <c r="E26" s="31">
        <v>46178</v>
      </c>
      <c r="F26" s="30">
        <v>70.7</v>
      </c>
      <c r="G26" s="24" t="str">
        <f t="shared" si="0"/>
        <v>PASS</v>
      </c>
      <c r="H26" s="30">
        <v>69.400000000000006</v>
      </c>
      <c r="I26" s="24" t="str">
        <f t="shared" si="1"/>
        <v>PASS</v>
      </c>
      <c r="J26" s="30">
        <v>76</v>
      </c>
      <c r="K26" s="24" t="str">
        <f t="shared" si="2"/>
        <v>PASS</v>
      </c>
      <c r="L26" s="30">
        <v>75</v>
      </c>
      <c r="M26" s="24" t="str">
        <f t="shared" si="3"/>
        <v>PASS</v>
      </c>
      <c r="N26" s="30">
        <v>33</v>
      </c>
      <c r="O26" s="24" t="str">
        <f t="shared" si="4"/>
        <v>PASS</v>
      </c>
      <c r="P26" s="29">
        <f t="shared" si="5"/>
        <v>324.10000000000002</v>
      </c>
      <c r="Q26" s="24" t="str">
        <f t="shared" si="6"/>
        <v>PASS</v>
      </c>
      <c r="R26" s="32">
        <f t="shared" si="7"/>
        <v>72.022222222222226</v>
      </c>
    </row>
    <row r="27" spans="1:18" x14ac:dyDescent="0.25">
      <c r="A27" s="29">
        <v>3790062</v>
      </c>
      <c r="B27" s="30" t="s">
        <v>72</v>
      </c>
      <c r="C27" s="30" t="s">
        <v>101</v>
      </c>
      <c r="D27" s="30" t="s">
        <v>119</v>
      </c>
      <c r="E27" s="31">
        <v>46178</v>
      </c>
      <c r="F27" s="30">
        <v>65</v>
      </c>
      <c r="G27" s="24" t="str">
        <f t="shared" si="0"/>
        <v>PASS</v>
      </c>
      <c r="H27" s="30">
        <v>65.400000000000006</v>
      </c>
      <c r="I27" s="24" t="str">
        <f t="shared" si="1"/>
        <v>PASS</v>
      </c>
      <c r="J27" s="30">
        <v>67.3</v>
      </c>
      <c r="K27" s="24" t="str">
        <f t="shared" si="2"/>
        <v>PASS</v>
      </c>
      <c r="L27" s="30">
        <v>78</v>
      </c>
      <c r="M27" s="24" t="str">
        <f t="shared" si="3"/>
        <v>PASS</v>
      </c>
      <c r="N27" s="30">
        <v>33</v>
      </c>
      <c r="O27" s="24" t="str">
        <f t="shared" si="4"/>
        <v>PASS</v>
      </c>
      <c r="P27" s="29">
        <f t="shared" si="5"/>
        <v>308.7</v>
      </c>
      <c r="Q27" s="24" t="str">
        <f t="shared" si="6"/>
        <v>PASS</v>
      </c>
      <c r="R27" s="32">
        <f t="shared" si="7"/>
        <v>68.599999999999994</v>
      </c>
    </row>
    <row r="28" spans="1:18" x14ac:dyDescent="0.25">
      <c r="A28" s="29">
        <v>3790062</v>
      </c>
      <c r="B28" s="30" t="s">
        <v>73</v>
      </c>
      <c r="C28" s="30" t="s">
        <v>102</v>
      </c>
      <c r="D28" s="30" t="s">
        <v>119</v>
      </c>
      <c r="E28" s="31">
        <v>46178</v>
      </c>
      <c r="F28" s="30">
        <v>76.5</v>
      </c>
      <c r="G28" s="24" t="str">
        <f t="shared" si="0"/>
        <v>PASS</v>
      </c>
      <c r="H28" s="30">
        <v>62.8</v>
      </c>
      <c r="I28" s="24" t="str">
        <f t="shared" si="1"/>
        <v>PASS</v>
      </c>
      <c r="J28" s="30">
        <v>75.5</v>
      </c>
      <c r="K28" s="24" t="str">
        <f t="shared" si="2"/>
        <v>PASS</v>
      </c>
      <c r="L28" s="30">
        <v>54</v>
      </c>
      <c r="M28" s="24" t="str">
        <f t="shared" si="3"/>
        <v>PASS</v>
      </c>
      <c r="N28" s="30">
        <v>14</v>
      </c>
      <c r="O28" s="24" t="str">
        <f t="shared" si="4"/>
        <v>FAIL</v>
      </c>
      <c r="P28" s="29">
        <f t="shared" si="5"/>
        <v>282.8</v>
      </c>
      <c r="Q28" s="24" t="str">
        <f t="shared" si="6"/>
        <v>PASS</v>
      </c>
      <c r="R28" s="32">
        <f t="shared" si="7"/>
        <v>62.844444444444449</v>
      </c>
    </row>
    <row r="29" spans="1:18" x14ac:dyDescent="0.25">
      <c r="A29" s="29">
        <v>3790062</v>
      </c>
      <c r="B29" s="30" t="s">
        <v>74</v>
      </c>
      <c r="C29" s="30" t="s">
        <v>103</v>
      </c>
      <c r="D29" s="30" t="s">
        <v>118</v>
      </c>
      <c r="E29" s="31">
        <v>46178</v>
      </c>
      <c r="F29" s="30">
        <v>71.400000000000006</v>
      </c>
      <c r="G29" s="24" t="str">
        <f t="shared" si="0"/>
        <v>PASS</v>
      </c>
      <c r="H29" s="30">
        <v>66.8</v>
      </c>
      <c r="I29" s="24" t="str">
        <f t="shared" si="1"/>
        <v>PASS</v>
      </c>
      <c r="J29" s="30">
        <v>72.3</v>
      </c>
      <c r="K29" s="24" t="str">
        <f t="shared" si="2"/>
        <v>PASS</v>
      </c>
      <c r="L29" s="30">
        <v>71</v>
      </c>
      <c r="M29" s="24" t="str">
        <f t="shared" si="3"/>
        <v>PASS</v>
      </c>
      <c r="N29" s="30">
        <v>33</v>
      </c>
      <c r="O29" s="24" t="str">
        <f t="shared" si="4"/>
        <v>PASS</v>
      </c>
      <c r="P29" s="29">
        <f t="shared" si="5"/>
        <v>314.5</v>
      </c>
      <c r="Q29" s="24" t="str">
        <f t="shared" si="6"/>
        <v>PASS</v>
      </c>
      <c r="R29" s="32">
        <f t="shared" si="7"/>
        <v>69.888888888888886</v>
      </c>
    </row>
    <row r="30" spans="1:18" x14ac:dyDescent="0.25">
      <c r="A30" s="29">
        <v>3790062</v>
      </c>
      <c r="B30" s="30" t="s">
        <v>61</v>
      </c>
      <c r="C30" s="30" t="s">
        <v>104</v>
      </c>
      <c r="D30" s="30" t="s">
        <v>118</v>
      </c>
      <c r="E30" s="31">
        <v>46178</v>
      </c>
      <c r="F30" s="30">
        <v>71.5</v>
      </c>
      <c r="G30" s="24" t="str">
        <f t="shared" si="0"/>
        <v>PASS</v>
      </c>
      <c r="H30" s="30">
        <v>61.2</v>
      </c>
      <c r="I30" s="24" t="str">
        <f t="shared" si="1"/>
        <v>PASS</v>
      </c>
      <c r="J30" s="30">
        <v>76</v>
      </c>
      <c r="K30" s="24" t="str">
        <f t="shared" si="2"/>
        <v>PASS</v>
      </c>
      <c r="L30" s="30">
        <v>77</v>
      </c>
      <c r="M30" s="24" t="str">
        <f t="shared" si="3"/>
        <v>PASS</v>
      </c>
      <c r="N30" s="30">
        <v>33</v>
      </c>
      <c r="O30" s="24" t="str">
        <f t="shared" si="4"/>
        <v>PASS</v>
      </c>
      <c r="P30" s="29">
        <f t="shared" si="5"/>
        <v>318.7</v>
      </c>
      <c r="Q30" s="24" t="str">
        <f t="shared" si="6"/>
        <v>PASS</v>
      </c>
      <c r="R30" s="32">
        <f t="shared" si="7"/>
        <v>70.822222222222223</v>
      </c>
    </row>
    <row r="31" spans="1:18" x14ac:dyDescent="0.25">
      <c r="A31" s="29">
        <v>3790062</v>
      </c>
      <c r="B31" s="30" t="s">
        <v>75</v>
      </c>
      <c r="C31" s="30" t="s">
        <v>105</v>
      </c>
      <c r="D31" s="30" t="s">
        <v>119</v>
      </c>
      <c r="E31" s="31">
        <v>46178</v>
      </c>
      <c r="F31" s="30">
        <v>79.3</v>
      </c>
      <c r="G31" s="24" t="str">
        <f t="shared" si="0"/>
        <v>PASS</v>
      </c>
      <c r="H31" s="30">
        <v>62.2</v>
      </c>
      <c r="I31" s="24" t="str">
        <f t="shared" si="1"/>
        <v>PASS</v>
      </c>
      <c r="J31" s="30">
        <v>69.7</v>
      </c>
      <c r="K31" s="24" t="str">
        <f t="shared" si="2"/>
        <v>PASS</v>
      </c>
      <c r="L31" s="30">
        <v>71</v>
      </c>
      <c r="M31" s="24" t="str">
        <f t="shared" si="3"/>
        <v>PASS</v>
      </c>
      <c r="N31" s="30">
        <v>7</v>
      </c>
      <c r="O31" s="24" t="str">
        <f t="shared" si="4"/>
        <v>FAIL</v>
      </c>
      <c r="P31" s="29">
        <f t="shared" si="5"/>
        <v>289.2</v>
      </c>
      <c r="Q31" s="24" t="str">
        <f t="shared" si="6"/>
        <v>PASS</v>
      </c>
      <c r="R31" s="32">
        <f t="shared" si="7"/>
        <v>64.266666666666666</v>
      </c>
    </row>
    <row r="32" spans="1:18" x14ac:dyDescent="0.25">
      <c r="A32" s="29">
        <v>3790062</v>
      </c>
      <c r="B32" s="30" t="s">
        <v>76</v>
      </c>
      <c r="C32" s="30" t="s">
        <v>106</v>
      </c>
      <c r="D32" s="30" t="s">
        <v>119</v>
      </c>
      <c r="E32" s="31">
        <v>46178</v>
      </c>
      <c r="F32" s="30">
        <v>74.7</v>
      </c>
      <c r="G32" s="24" t="str">
        <f t="shared" si="0"/>
        <v>PASS</v>
      </c>
      <c r="H32" s="30">
        <v>57.8</v>
      </c>
      <c r="I32" s="24" t="str">
        <f t="shared" si="1"/>
        <v>PASS</v>
      </c>
      <c r="J32" s="30">
        <v>55.6</v>
      </c>
      <c r="K32" s="24" t="str">
        <f t="shared" si="2"/>
        <v>PASS</v>
      </c>
      <c r="L32" s="30">
        <v>61</v>
      </c>
      <c r="M32" s="24" t="str">
        <f t="shared" si="3"/>
        <v>PASS</v>
      </c>
      <c r="N32" s="30">
        <v>31</v>
      </c>
      <c r="O32" s="24" t="str">
        <f t="shared" si="4"/>
        <v>PASS</v>
      </c>
      <c r="P32" s="29">
        <f t="shared" si="5"/>
        <v>280.10000000000002</v>
      </c>
      <c r="Q32" s="24" t="str">
        <f t="shared" si="6"/>
        <v>PASS</v>
      </c>
      <c r="R32" s="32">
        <f t="shared" si="7"/>
        <v>62.244444444444447</v>
      </c>
    </row>
    <row r="33" spans="1:18" hidden="1" x14ac:dyDescent="0.25">
      <c r="A33" s="29">
        <v>3790062</v>
      </c>
      <c r="B33" s="30" t="s">
        <v>77</v>
      </c>
      <c r="C33" s="30" t="s">
        <v>107</v>
      </c>
      <c r="D33" s="30" t="s">
        <v>118</v>
      </c>
      <c r="E33" s="31">
        <v>46178</v>
      </c>
      <c r="F33" s="30">
        <v>53</v>
      </c>
      <c r="G33" s="24" t="str">
        <f t="shared" si="0"/>
        <v>PASS</v>
      </c>
      <c r="H33" s="30">
        <v>28.1</v>
      </c>
      <c r="I33" s="24" t="str">
        <f t="shared" si="1"/>
        <v>FAIL</v>
      </c>
      <c r="J33" s="30">
        <v>28.6</v>
      </c>
      <c r="K33" s="24" t="str">
        <f t="shared" si="2"/>
        <v>FAIL</v>
      </c>
      <c r="L33" s="30">
        <v>25</v>
      </c>
      <c r="M33" s="24" t="str">
        <f t="shared" si="3"/>
        <v>FAIL</v>
      </c>
      <c r="N33" s="30">
        <v>0</v>
      </c>
      <c r="O33" s="24" t="str">
        <f t="shared" si="4"/>
        <v>ABSENT</v>
      </c>
      <c r="P33" s="29">
        <f t="shared" si="5"/>
        <v>134.69999999999999</v>
      </c>
      <c r="Q33" s="24" t="str">
        <f t="shared" si="6"/>
        <v>FAIL</v>
      </c>
      <c r="R33" s="32">
        <f t="shared" si="7"/>
        <v>29.93333333333333</v>
      </c>
    </row>
    <row r="34" spans="1:18" hidden="1" x14ac:dyDescent="0.25">
      <c r="A34" s="29">
        <v>3790062</v>
      </c>
      <c r="B34" s="30" t="s">
        <v>78</v>
      </c>
      <c r="C34" s="30" t="s">
        <v>108</v>
      </c>
      <c r="D34" s="30" t="s">
        <v>118</v>
      </c>
      <c r="E34" s="31">
        <v>46178</v>
      </c>
      <c r="F34" s="30">
        <v>51.4</v>
      </c>
      <c r="G34" s="24" t="str">
        <f t="shared" si="0"/>
        <v>PASS</v>
      </c>
      <c r="H34" s="30">
        <v>34</v>
      </c>
      <c r="I34" s="24" t="str">
        <f t="shared" si="1"/>
        <v>FAIL</v>
      </c>
      <c r="J34" s="30">
        <v>11</v>
      </c>
      <c r="K34" s="24" t="str">
        <f t="shared" si="2"/>
        <v>FAIL</v>
      </c>
      <c r="L34" s="30">
        <v>40</v>
      </c>
      <c r="M34" s="24" t="str">
        <f t="shared" si="3"/>
        <v>FAIL</v>
      </c>
      <c r="N34" s="30">
        <v>9</v>
      </c>
      <c r="O34" s="24" t="str">
        <f t="shared" si="4"/>
        <v>FAIL</v>
      </c>
      <c r="P34" s="29">
        <f t="shared" si="5"/>
        <v>145.4</v>
      </c>
      <c r="Q34" s="24" t="str">
        <f t="shared" si="6"/>
        <v>FAIL</v>
      </c>
      <c r="R34" s="32">
        <f t="shared" si="7"/>
        <v>32.31111111111111</v>
      </c>
    </row>
    <row r="35" spans="1:18" x14ac:dyDescent="0.25">
      <c r="A35" s="29">
        <v>3790062</v>
      </c>
      <c r="B35" s="30" t="s">
        <v>79</v>
      </c>
      <c r="C35" s="30" t="s">
        <v>109</v>
      </c>
      <c r="D35" s="30" t="s">
        <v>119</v>
      </c>
      <c r="E35" s="31">
        <v>46178</v>
      </c>
      <c r="F35" s="30">
        <v>70.7</v>
      </c>
      <c r="G35" s="24" t="str">
        <f t="shared" si="0"/>
        <v>PASS</v>
      </c>
      <c r="H35" s="30">
        <v>73</v>
      </c>
      <c r="I35" s="24" t="str">
        <f t="shared" si="1"/>
        <v>PASS</v>
      </c>
      <c r="J35" s="30">
        <v>67.8</v>
      </c>
      <c r="K35" s="24" t="str">
        <f t="shared" si="2"/>
        <v>PASS</v>
      </c>
      <c r="L35" s="30">
        <v>72</v>
      </c>
      <c r="M35" s="24" t="str">
        <f t="shared" si="3"/>
        <v>PASS</v>
      </c>
      <c r="N35" s="30">
        <v>33</v>
      </c>
      <c r="O35" s="24" t="str">
        <f t="shared" si="4"/>
        <v>PASS</v>
      </c>
      <c r="P35" s="29">
        <f t="shared" si="5"/>
        <v>316.5</v>
      </c>
      <c r="Q35" s="24" t="str">
        <f t="shared" si="6"/>
        <v>PASS</v>
      </c>
      <c r="R35" s="32">
        <f t="shared" si="7"/>
        <v>70.333333333333343</v>
      </c>
    </row>
    <row r="36" spans="1:18" x14ac:dyDescent="0.25">
      <c r="A36" s="29">
        <v>3790062</v>
      </c>
      <c r="B36" s="30" t="s">
        <v>80</v>
      </c>
      <c r="C36" s="30" t="s">
        <v>110</v>
      </c>
      <c r="D36" s="30" t="s">
        <v>119</v>
      </c>
      <c r="E36" s="31">
        <v>46178</v>
      </c>
      <c r="F36" s="30">
        <v>81.7</v>
      </c>
      <c r="G36" s="24" t="str">
        <f t="shared" si="0"/>
        <v>PASS</v>
      </c>
      <c r="H36" s="30">
        <v>58.2</v>
      </c>
      <c r="I36" s="24" t="str">
        <f t="shared" si="1"/>
        <v>PASS</v>
      </c>
      <c r="J36" s="30">
        <v>76.5</v>
      </c>
      <c r="K36" s="24" t="str">
        <f t="shared" si="2"/>
        <v>PASS</v>
      </c>
      <c r="L36" s="30">
        <v>65</v>
      </c>
      <c r="M36" s="24" t="str">
        <f t="shared" si="3"/>
        <v>PASS</v>
      </c>
      <c r="N36" s="30">
        <v>26</v>
      </c>
      <c r="O36" s="24" t="str">
        <f t="shared" si="4"/>
        <v>PASS</v>
      </c>
      <c r="P36" s="29">
        <f t="shared" si="5"/>
        <v>307.39999999999998</v>
      </c>
      <c r="Q36" s="24" t="str">
        <f t="shared" si="6"/>
        <v>PASS</v>
      </c>
      <c r="R36" s="32">
        <f t="shared" si="7"/>
        <v>68.311111111111117</v>
      </c>
    </row>
    <row r="37" spans="1:18" x14ac:dyDescent="0.25">
      <c r="A37" s="29">
        <v>3790062</v>
      </c>
      <c r="B37" s="30" t="s">
        <v>81</v>
      </c>
      <c r="C37" s="30" t="s">
        <v>111</v>
      </c>
      <c r="D37" s="30" t="s">
        <v>118</v>
      </c>
      <c r="E37" s="31">
        <v>46178</v>
      </c>
      <c r="F37" s="30">
        <v>73.599999999999994</v>
      </c>
      <c r="G37" s="24" t="str">
        <f t="shared" si="0"/>
        <v>PASS</v>
      </c>
      <c r="H37" s="30">
        <v>60.6</v>
      </c>
      <c r="I37" s="24" t="str">
        <f t="shared" si="1"/>
        <v>PASS</v>
      </c>
      <c r="J37" s="30">
        <v>72</v>
      </c>
      <c r="K37" s="24" t="str">
        <f t="shared" si="2"/>
        <v>PASS</v>
      </c>
      <c r="L37" s="30">
        <v>76</v>
      </c>
      <c r="M37" s="24" t="str">
        <f t="shared" si="3"/>
        <v>PASS</v>
      </c>
      <c r="N37" s="30">
        <v>33</v>
      </c>
      <c r="O37" s="24" t="str">
        <f t="shared" si="4"/>
        <v>PASS</v>
      </c>
      <c r="P37" s="29">
        <f t="shared" si="5"/>
        <v>315.2</v>
      </c>
      <c r="Q37" s="24" t="str">
        <f t="shared" si="6"/>
        <v>PASS</v>
      </c>
      <c r="R37" s="32">
        <f t="shared" si="7"/>
        <v>70.044444444444437</v>
      </c>
    </row>
    <row r="38" spans="1:18" x14ac:dyDescent="0.25">
      <c r="A38" s="29">
        <v>3790062</v>
      </c>
      <c r="B38" s="30" t="s">
        <v>82</v>
      </c>
      <c r="C38" s="30" t="s">
        <v>112</v>
      </c>
      <c r="D38" s="30" t="s">
        <v>119</v>
      </c>
      <c r="E38" s="31">
        <v>46178</v>
      </c>
      <c r="F38" s="30">
        <v>59.9</v>
      </c>
      <c r="G38" s="24" t="str">
        <f t="shared" si="0"/>
        <v>PASS</v>
      </c>
      <c r="H38" s="30">
        <v>57.2</v>
      </c>
      <c r="I38" s="24" t="str">
        <f t="shared" si="1"/>
        <v>PASS</v>
      </c>
      <c r="J38" s="30">
        <v>88</v>
      </c>
      <c r="K38" s="24" t="str">
        <f t="shared" si="2"/>
        <v>PASS</v>
      </c>
      <c r="L38" s="30">
        <v>78</v>
      </c>
      <c r="M38" s="24" t="str">
        <f t="shared" si="3"/>
        <v>PASS</v>
      </c>
      <c r="N38" s="30">
        <v>45</v>
      </c>
      <c r="O38" s="24" t="str">
        <f t="shared" si="4"/>
        <v>PASS</v>
      </c>
      <c r="P38" s="29">
        <f t="shared" si="5"/>
        <v>328.1</v>
      </c>
      <c r="Q38" s="24" t="str">
        <f t="shared" si="6"/>
        <v>PASS</v>
      </c>
      <c r="R38" s="32">
        <f t="shared" si="7"/>
        <v>72.911111111111111</v>
      </c>
    </row>
    <row r="39" spans="1:18" x14ac:dyDescent="0.25">
      <c r="A39" s="29">
        <v>3790062</v>
      </c>
      <c r="B39" s="30" t="s">
        <v>83</v>
      </c>
      <c r="C39" s="30" t="s">
        <v>113</v>
      </c>
      <c r="D39" s="30" t="s">
        <v>119</v>
      </c>
      <c r="E39" s="31">
        <v>46178</v>
      </c>
      <c r="F39" s="30">
        <v>60.9</v>
      </c>
      <c r="G39" s="24" t="str">
        <f t="shared" si="0"/>
        <v>PASS</v>
      </c>
      <c r="H39" s="30">
        <v>67.5</v>
      </c>
      <c r="I39" s="24" t="str">
        <f t="shared" si="1"/>
        <v>PASS</v>
      </c>
      <c r="J39" s="30">
        <v>68.599999999999994</v>
      </c>
      <c r="K39" s="24" t="str">
        <f t="shared" si="2"/>
        <v>PASS</v>
      </c>
      <c r="L39" s="30">
        <v>73</v>
      </c>
      <c r="M39" s="24" t="str">
        <f t="shared" si="3"/>
        <v>PASS</v>
      </c>
      <c r="N39" s="30">
        <v>33</v>
      </c>
      <c r="O39" s="24" t="str">
        <f t="shared" si="4"/>
        <v>PASS</v>
      </c>
      <c r="P39" s="29">
        <f t="shared" si="5"/>
        <v>303</v>
      </c>
      <c r="Q39" s="24" t="str">
        <f t="shared" si="6"/>
        <v>PASS</v>
      </c>
      <c r="R39" s="32">
        <f t="shared" si="7"/>
        <v>67.333333333333329</v>
      </c>
    </row>
    <row r="40" spans="1:18" x14ac:dyDescent="0.25">
      <c r="A40" s="29">
        <v>3790062</v>
      </c>
      <c r="B40" s="30" t="s">
        <v>84</v>
      </c>
      <c r="C40" s="30" t="s">
        <v>114</v>
      </c>
      <c r="D40" s="30" t="s">
        <v>119</v>
      </c>
      <c r="E40" s="31">
        <v>46178</v>
      </c>
      <c r="F40" s="30">
        <v>74.2</v>
      </c>
      <c r="G40" s="24" t="str">
        <f t="shared" si="0"/>
        <v>PASS</v>
      </c>
      <c r="H40" s="30">
        <v>52.8</v>
      </c>
      <c r="I40" s="24" t="str">
        <f t="shared" si="1"/>
        <v>PASS</v>
      </c>
      <c r="J40" s="30">
        <v>71.599999999999994</v>
      </c>
      <c r="K40" s="24" t="str">
        <f t="shared" si="2"/>
        <v>PASS</v>
      </c>
      <c r="L40" s="30">
        <v>66</v>
      </c>
      <c r="M40" s="24" t="str">
        <f t="shared" si="3"/>
        <v>PASS</v>
      </c>
      <c r="N40" s="30">
        <v>22</v>
      </c>
      <c r="O40" s="24" t="str">
        <f t="shared" si="4"/>
        <v>FAIL</v>
      </c>
      <c r="P40" s="29">
        <f t="shared" si="5"/>
        <v>286.60000000000002</v>
      </c>
      <c r="Q40" s="24" t="str">
        <f t="shared" si="6"/>
        <v>PASS</v>
      </c>
      <c r="R40" s="32">
        <f t="shared" si="7"/>
        <v>63.688888888888897</v>
      </c>
    </row>
    <row r="41" spans="1:18" x14ac:dyDescent="0.25">
      <c r="A41" s="29">
        <v>3790062</v>
      </c>
      <c r="B41" s="30" t="s">
        <v>85</v>
      </c>
      <c r="C41" s="30" t="s">
        <v>115</v>
      </c>
      <c r="D41" s="30" t="s">
        <v>119</v>
      </c>
      <c r="E41" s="31">
        <v>46178</v>
      </c>
      <c r="F41" s="30">
        <v>70.900000000000006</v>
      </c>
      <c r="G41" s="24" t="str">
        <f t="shared" si="0"/>
        <v>PASS</v>
      </c>
      <c r="H41" s="30">
        <v>62.8</v>
      </c>
      <c r="I41" s="24" t="str">
        <f t="shared" si="1"/>
        <v>PASS</v>
      </c>
      <c r="J41" s="30">
        <v>74.400000000000006</v>
      </c>
      <c r="K41" s="24" t="str">
        <f t="shared" si="2"/>
        <v>PASS</v>
      </c>
      <c r="L41" s="30">
        <v>76</v>
      </c>
      <c r="M41" s="24" t="str">
        <f t="shared" si="3"/>
        <v>PASS</v>
      </c>
      <c r="N41" s="30">
        <v>37</v>
      </c>
      <c r="O41" s="24" t="str">
        <f t="shared" si="4"/>
        <v>PASS</v>
      </c>
      <c r="P41" s="29">
        <f t="shared" si="5"/>
        <v>321.10000000000002</v>
      </c>
      <c r="Q41" s="24" t="str">
        <f t="shared" si="6"/>
        <v>PASS</v>
      </c>
      <c r="R41" s="32">
        <f t="shared" si="7"/>
        <v>71.355555555555554</v>
      </c>
    </row>
    <row r="42" spans="1:18" x14ac:dyDescent="0.25">
      <c r="A42" s="29">
        <v>3790062</v>
      </c>
      <c r="B42" s="30" t="s">
        <v>86</v>
      </c>
      <c r="C42" s="30" t="s">
        <v>116</v>
      </c>
      <c r="D42" s="30" t="s">
        <v>119</v>
      </c>
      <c r="E42" s="31">
        <v>46178</v>
      </c>
      <c r="F42" s="30">
        <v>66.900000000000006</v>
      </c>
      <c r="G42" s="24" t="str">
        <f t="shared" si="0"/>
        <v>PASS</v>
      </c>
      <c r="H42" s="30">
        <v>45.3</v>
      </c>
      <c r="I42" s="24" t="str">
        <f t="shared" si="1"/>
        <v>FAIL</v>
      </c>
      <c r="J42" s="30">
        <v>93</v>
      </c>
      <c r="K42" s="24" t="str">
        <f t="shared" si="2"/>
        <v>PASS</v>
      </c>
      <c r="L42" s="30">
        <v>97</v>
      </c>
      <c r="M42" s="24" t="str">
        <f t="shared" si="3"/>
        <v>PASS</v>
      </c>
      <c r="N42" s="30">
        <v>50</v>
      </c>
      <c r="O42" s="24" t="str">
        <f t="shared" si="4"/>
        <v>PASS</v>
      </c>
      <c r="P42" s="29">
        <f t="shared" si="5"/>
        <v>352.2</v>
      </c>
      <c r="Q42" s="24" t="str">
        <f t="shared" si="6"/>
        <v>PASS</v>
      </c>
      <c r="R42" s="32">
        <f t="shared" si="7"/>
        <v>78.266666666666666</v>
      </c>
    </row>
    <row r="43" spans="1:18" x14ac:dyDescent="0.25">
      <c r="A43" s="29">
        <v>3790062</v>
      </c>
      <c r="B43" s="30" t="s">
        <v>87</v>
      </c>
      <c r="C43" s="30" t="s">
        <v>117</v>
      </c>
      <c r="D43" s="30" t="s">
        <v>119</v>
      </c>
      <c r="E43" s="31">
        <v>46178</v>
      </c>
      <c r="F43" s="30">
        <v>73.7</v>
      </c>
      <c r="G43" s="24" t="str">
        <f t="shared" si="0"/>
        <v>PASS</v>
      </c>
      <c r="H43" s="30">
        <v>64.400000000000006</v>
      </c>
      <c r="I43" s="24" t="str">
        <f t="shared" si="1"/>
        <v>PASS</v>
      </c>
      <c r="J43" s="30">
        <v>78.2</v>
      </c>
      <c r="K43" s="24" t="str">
        <f t="shared" si="2"/>
        <v>PASS</v>
      </c>
      <c r="L43" s="30">
        <v>71</v>
      </c>
      <c r="M43" s="24" t="str">
        <f t="shared" si="3"/>
        <v>PASS</v>
      </c>
      <c r="N43" s="30">
        <v>19</v>
      </c>
      <c r="O43" s="24" t="str">
        <f t="shared" si="4"/>
        <v>FAIL</v>
      </c>
      <c r="P43" s="29">
        <f t="shared" si="5"/>
        <v>306.3</v>
      </c>
      <c r="Q43" s="24" t="str">
        <f t="shared" si="6"/>
        <v>PASS</v>
      </c>
      <c r="R43" s="32">
        <f t="shared" si="7"/>
        <v>68.066666666666663</v>
      </c>
    </row>
  </sheetData>
  <autoFilter ref="A13:R43" xr:uid="{00000000-0001-0000-0000-000000000000}">
    <filterColumn colId="16">
      <filters>
        <filter val="PASS"/>
      </filters>
    </filterColumn>
  </autoFilter>
  <conditionalFormatting sqref="C14:C39">
    <cfRule type="duplicateValues" dxfId="1" priority="14"/>
  </conditionalFormatting>
  <conditionalFormatting sqref="E14:E43 P14:P43">
    <cfRule type="cellIs" dxfId="0" priority="4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workbookViewId="0">
      <selection activeCell="J32" sqref="J32"/>
    </sheetView>
  </sheetViews>
  <sheetFormatPr defaultRowHeight="15" x14ac:dyDescent="0.25"/>
  <cols>
    <col min="1" max="1" width="15.7109375" bestFit="1" customWidth="1"/>
    <col min="2" max="2" width="13" customWidth="1"/>
    <col min="4" max="5" width="10.85546875" customWidth="1"/>
    <col min="6" max="6" width="10.28515625" customWidth="1"/>
    <col min="7" max="7" width="10.42578125" customWidth="1"/>
  </cols>
  <sheetData>
    <row r="1" spans="1:7" x14ac:dyDescent="0.25">
      <c r="A1" s="37" t="s">
        <v>9</v>
      </c>
      <c r="B1" s="37"/>
      <c r="C1" s="37"/>
      <c r="D1" s="37"/>
      <c r="E1" s="37"/>
      <c r="F1" s="37"/>
      <c r="G1" s="37"/>
    </row>
    <row r="2" spans="1:7" x14ac:dyDescent="0.25">
      <c r="A2" s="38" t="s">
        <v>10</v>
      </c>
      <c r="B2" s="38"/>
      <c r="C2" s="38"/>
      <c r="D2" s="38"/>
      <c r="E2" s="38"/>
      <c r="F2" s="38"/>
      <c r="G2" s="38"/>
    </row>
    <row r="3" spans="1:7" x14ac:dyDescent="0.25">
      <c r="A3" s="2" t="s">
        <v>11</v>
      </c>
      <c r="B3" s="39">
        <f>score_sheet!B10</f>
        <v>3790062</v>
      </c>
      <c r="C3" s="40"/>
      <c r="D3" s="40"/>
      <c r="E3" s="40"/>
      <c r="F3" s="40"/>
      <c r="G3" s="41"/>
    </row>
    <row r="4" spans="1:7" ht="25.5" x14ac:dyDescent="0.25">
      <c r="A4" s="23" t="s">
        <v>12</v>
      </c>
      <c r="B4" s="42" t="str">
        <f>score_sheet!B6</f>
        <v>TPA</v>
      </c>
      <c r="C4" s="43"/>
      <c r="D4" s="3" t="s">
        <v>13</v>
      </c>
      <c r="E4" s="44">
        <v>0.5</v>
      </c>
      <c r="F4" s="45"/>
      <c r="G4" s="43"/>
    </row>
    <row r="5" spans="1:7" x14ac:dyDescent="0.25">
      <c r="A5" s="4" t="s">
        <v>7</v>
      </c>
      <c r="B5" s="46">
        <f>score_sheet!E14</f>
        <v>46178</v>
      </c>
      <c r="C5" s="47"/>
      <c r="D5" s="47"/>
      <c r="E5" s="47"/>
      <c r="F5" s="47"/>
      <c r="G5" s="48"/>
    </row>
    <row r="6" spans="1:7" x14ac:dyDescent="0.25">
      <c r="A6" s="5" t="s">
        <v>14</v>
      </c>
      <c r="B6" s="6" t="str">
        <f>score_sheet!B3</f>
        <v>Digital Mitra</v>
      </c>
      <c r="C6" s="20"/>
      <c r="D6" s="21"/>
      <c r="E6" s="21"/>
      <c r="F6" s="21"/>
      <c r="G6" s="22"/>
    </row>
    <row r="7" spans="1:7" ht="14.45" customHeight="1" x14ac:dyDescent="0.25">
      <c r="A7" s="49" t="s">
        <v>15</v>
      </c>
      <c r="C7" s="5" t="s">
        <v>16</v>
      </c>
      <c r="D7" s="55" t="s">
        <v>25</v>
      </c>
      <c r="E7" s="56"/>
      <c r="F7" s="10" t="s">
        <v>26</v>
      </c>
      <c r="G7" s="10" t="s">
        <v>27</v>
      </c>
    </row>
    <row r="8" spans="1:7" x14ac:dyDescent="0.25">
      <c r="A8" s="50"/>
      <c r="B8" s="7" t="s">
        <v>17</v>
      </c>
      <c r="C8" s="8">
        <f>COUNT(score_sheet!R14:R43)</f>
        <v>30</v>
      </c>
      <c r="D8" s="57"/>
      <c r="E8" s="58"/>
      <c r="F8" s="15">
        <f>COUNTIF(score_sheet!D14:D43,"M")</f>
        <v>17</v>
      </c>
      <c r="G8" s="15">
        <f>COUNTIF(score_sheet!D14:D43,"F")</f>
        <v>13</v>
      </c>
    </row>
    <row r="9" spans="1:7" x14ac:dyDescent="0.25">
      <c r="A9" s="50"/>
      <c r="B9" s="7" t="s">
        <v>18</v>
      </c>
      <c r="C9" s="8">
        <f>COUNTIF(score_sheet!Q14:Q43,"PASS")+COUNTIF(score_sheet!Q14:Q43,"FAIL")</f>
        <v>30</v>
      </c>
      <c r="D9" s="57"/>
      <c r="E9" s="58"/>
      <c r="F9" s="15">
        <f>COUNTIFS(score_sheet!$D$14:$D$43,"M",score_sheet!$Q$14:$Q$43,"PASS")+COUNTIFS(score_sheet!$D$14:$D$43,"M",score_sheet!$Q$14:$Q$43,"FAIL")</f>
        <v>17</v>
      </c>
      <c r="G9" s="15">
        <f>COUNTIFS(score_sheet!$D$14:$D$43,"F",score_sheet!$Q$14:$Q$43,"PASS")+COUNTIFS(score_sheet!$D$14:$D$43,"F",score_sheet!$Q$14:$Q$43,"FAIL")</f>
        <v>13</v>
      </c>
    </row>
    <row r="10" spans="1:7" x14ac:dyDescent="0.25">
      <c r="A10" s="51"/>
      <c r="B10" s="7" t="s">
        <v>19</v>
      </c>
      <c r="C10" s="8">
        <f>COUNTIF(score_sheet!Q14:Q43,"PASS")</f>
        <v>28</v>
      </c>
      <c r="D10" s="59"/>
      <c r="E10" s="60"/>
      <c r="F10" s="15">
        <f>COUNTIFS(score_sheet!$D$14:$D$43,"M",score_sheet!$Q$14:$Q$43,"PASS")</f>
        <v>17</v>
      </c>
      <c r="G10" s="15">
        <f>COUNTIFS(score_sheet!$D$14:$D$43,"F",score_sheet!$Q$14:$Q$43,"PASS")</f>
        <v>11</v>
      </c>
    </row>
    <row r="11" spans="1:7" x14ac:dyDescent="0.25">
      <c r="A11" s="38" t="s">
        <v>20</v>
      </c>
      <c r="B11" s="38"/>
      <c r="C11" s="38"/>
      <c r="D11" s="38"/>
      <c r="E11" s="38"/>
      <c r="F11" s="38"/>
      <c r="G11" s="38"/>
    </row>
    <row r="12" spans="1:7" ht="38.25" x14ac:dyDescent="0.2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25">
      <c r="A13" s="1" t="s">
        <v>50</v>
      </c>
      <c r="B13" s="11">
        <f>$C$10/$C$9*100</f>
        <v>93.333333333333329</v>
      </c>
      <c r="C13" s="16">
        <f>AVERAGE(score_sheet!F$14:F$43)</f>
        <v>67.940000000000012</v>
      </c>
      <c r="D13" s="16">
        <f>MIN(score_sheet!F$14:F$43)</f>
        <v>49.7</v>
      </c>
      <c r="E13" s="17">
        <f>MAX(score_sheet!F$14:F$43)</f>
        <v>81.7</v>
      </c>
      <c r="F13" s="18">
        <f>MEDIAN(score_sheet!F$14:F$43)</f>
        <v>70.7</v>
      </c>
      <c r="G13" s="17">
        <f>STDEVP(score_sheet!F$14:F$43)</f>
        <v>8.7797342404728642</v>
      </c>
    </row>
    <row r="14" spans="1:7" x14ac:dyDescent="0.25">
      <c r="A14" s="1" t="s">
        <v>51</v>
      </c>
      <c r="B14" s="11">
        <f t="shared" ref="B14:B17" si="0">$C$10/$C$9*100</f>
        <v>93.333333333333329</v>
      </c>
      <c r="C14" s="16">
        <f>AVERAGE(score_sheet!H$14:H$43)</f>
        <v>62.596666666666657</v>
      </c>
      <c r="D14" s="16">
        <f>MIN(score_sheet!H$14:H$43)</f>
        <v>28.1</v>
      </c>
      <c r="E14" s="17">
        <f>MAX(score_sheet!H$14:H$43)</f>
        <v>76.400000000000006</v>
      </c>
      <c r="F14" s="18">
        <f>MEDIAN(score_sheet!H$14:H$43)</f>
        <v>64.8</v>
      </c>
      <c r="G14" s="17">
        <f>STDEVP(score_sheet!H$14:H$43)</f>
        <v>10.751542008268252</v>
      </c>
    </row>
    <row r="15" spans="1:7" x14ac:dyDescent="0.25">
      <c r="A15" s="1" t="s">
        <v>52</v>
      </c>
      <c r="B15" s="11">
        <f t="shared" si="0"/>
        <v>93.333333333333329</v>
      </c>
      <c r="C15" s="16">
        <f>AVERAGE(score_sheet!J$14:J$43)</f>
        <v>69.443333333333328</v>
      </c>
      <c r="D15" s="16">
        <f>MIN(score_sheet!J$14:J$43)</f>
        <v>11</v>
      </c>
      <c r="E15" s="17">
        <f>MAX(score_sheet!J$14:J$43)</f>
        <v>93</v>
      </c>
      <c r="F15" s="18">
        <f>MEDIAN(score_sheet!J$14:J$43)</f>
        <v>72.5</v>
      </c>
      <c r="G15" s="17">
        <f>STDEVP(score_sheet!J$14:J$43)</f>
        <v>15.497713451416734</v>
      </c>
    </row>
    <row r="16" spans="1:7" x14ac:dyDescent="0.25">
      <c r="A16" s="1" t="s">
        <v>53</v>
      </c>
      <c r="B16" s="11">
        <f t="shared" si="0"/>
        <v>93.333333333333329</v>
      </c>
      <c r="C16" s="16">
        <f>AVERAGE(score_sheet!L$14:L$43)</f>
        <v>68.55</v>
      </c>
      <c r="D16" s="16">
        <f>MIN(score_sheet!L$14:L$43)</f>
        <v>25</v>
      </c>
      <c r="E16" s="17">
        <f>MAX(score_sheet!L$14:L$43)</f>
        <v>97</v>
      </c>
      <c r="F16" s="18">
        <f>MEDIAN(score_sheet!L$14:L$43)</f>
        <v>71.5</v>
      </c>
      <c r="G16" s="17">
        <f>STDEVP(score_sheet!L$14:L$43)</f>
        <v>13.245999396044098</v>
      </c>
    </row>
    <row r="17" spans="1:7" x14ac:dyDescent="0.25">
      <c r="A17" s="1" t="s">
        <v>54</v>
      </c>
      <c r="B17" s="11">
        <f t="shared" si="0"/>
        <v>93.333333333333329</v>
      </c>
      <c r="C17" s="16">
        <f>AVERAGE(score_sheet!N$14:N$43)</f>
        <v>28.433333333333334</v>
      </c>
      <c r="D17" s="16">
        <f>MIN(score_sheet!N$14:N$43)</f>
        <v>0</v>
      </c>
      <c r="E17" s="17">
        <f>MAX(score_sheet!N$14:N$43)</f>
        <v>50</v>
      </c>
      <c r="F17" s="18">
        <f>MEDIAN(score_sheet!N$14:N$43)</f>
        <v>33</v>
      </c>
      <c r="G17" s="17">
        <f>STDEVP(score_sheet!N$14:N$43)</f>
        <v>10.772444270245986</v>
      </c>
    </row>
    <row r="18" spans="1:7" x14ac:dyDescent="0.25">
      <c r="A18" s="38" t="s">
        <v>22</v>
      </c>
      <c r="B18" s="38"/>
      <c r="C18" s="38"/>
      <c r="D18" s="38"/>
      <c r="E18" s="38"/>
      <c r="F18" s="38"/>
      <c r="G18" s="38"/>
    </row>
    <row r="19" spans="1:7" x14ac:dyDescent="0.25">
      <c r="A19" s="12"/>
      <c r="B19" s="13">
        <v>1</v>
      </c>
      <c r="C19" s="13">
        <v>2</v>
      </c>
      <c r="D19" s="13">
        <v>3</v>
      </c>
      <c r="E19" s="13">
        <v>4</v>
      </c>
      <c r="F19" s="13">
        <v>5</v>
      </c>
      <c r="G19" s="13">
        <v>6</v>
      </c>
    </row>
    <row r="20" spans="1:7" x14ac:dyDescent="0.25">
      <c r="A20" s="52" t="s">
        <v>50</v>
      </c>
      <c r="B20" s="34" t="s">
        <v>120</v>
      </c>
      <c r="C20" s="34" t="s">
        <v>121</v>
      </c>
      <c r="D20" s="34" t="s">
        <v>122</v>
      </c>
      <c r="E20" s="34" t="s">
        <v>123</v>
      </c>
      <c r="F20" s="34" t="s">
        <v>124</v>
      </c>
      <c r="G20" s="34" t="s">
        <v>125</v>
      </c>
    </row>
    <row r="21" spans="1:7" x14ac:dyDescent="0.25">
      <c r="A21" s="53"/>
      <c r="B21" s="34" t="s">
        <v>126</v>
      </c>
      <c r="C21" s="34" t="s">
        <v>127</v>
      </c>
      <c r="D21" s="35"/>
      <c r="E21" s="35"/>
      <c r="F21" s="35"/>
      <c r="G21" s="35"/>
    </row>
    <row r="22" spans="1:7" x14ac:dyDescent="0.25">
      <c r="A22" s="54"/>
      <c r="B22" s="36"/>
      <c r="C22" s="36"/>
      <c r="D22" s="36"/>
      <c r="E22" s="36"/>
      <c r="F22" s="36"/>
      <c r="G22" s="36"/>
    </row>
    <row r="23" spans="1:7" x14ac:dyDescent="0.25">
      <c r="A23" s="52" t="s">
        <v>51</v>
      </c>
      <c r="B23" s="34" t="s">
        <v>128</v>
      </c>
      <c r="C23" s="34" t="s">
        <v>129</v>
      </c>
      <c r="D23" s="34" t="s">
        <v>120</v>
      </c>
      <c r="E23" s="34" t="s">
        <v>130</v>
      </c>
      <c r="F23" s="34" t="s">
        <v>131</v>
      </c>
      <c r="G23" s="34" t="s">
        <v>132</v>
      </c>
    </row>
    <row r="24" spans="1:7" x14ac:dyDescent="0.25">
      <c r="A24" s="53"/>
      <c r="B24" s="34" t="s">
        <v>125</v>
      </c>
      <c r="C24" s="34" t="s">
        <v>133</v>
      </c>
      <c r="D24" s="35"/>
      <c r="E24" s="35"/>
      <c r="F24" s="35"/>
      <c r="G24" s="35"/>
    </row>
    <row r="25" spans="1:7" x14ac:dyDescent="0.25">
      <c r="A25" s="54"/>
      <c r="B25" s="36"/>
      <c r="C25" s="36"/>
      <c r="D25" s="36"/>
      <c r="E25" s="36"/>
      <c r="F25" s="36"/>
      <c r="G25" s="36"/>
    </row>
    <row r="26" spans="1:7" x14ac:dyDescent="0.25">
      <c r="A26" s="52" t="s">
        <v>52</v>
      </c>
      <c r="B26" s="34" t="s">
        <v>134</v>
      </c>
      <c r="C26" s="34" t="s">
        <v>135</v>
      </c>
      <c r="D26" s="34" t="s">
        <v>133</v>
      </c>
      <c r="E26" s="34" t="s">
        <v>136</v>
      </c>
      <c r="F26" s="34" t="s">
        <v>126</v>
      </c>
      <c r="G26" s="34" t="s">
        <v>132</v>
      </c>
    </row>
    <row r="27" spans="1:7" x14ac:dyDescent="0.25">
      <c r="A27" s="53"/>
      <c r="B27" s="34" t="s">
        <v>137</v>
      </c>
      <c r="C27" s="34" t="s">
        <v>125</v>
      </c>
      <c r="D27" s="34" t="s">
        <v>121</v>
      </c>
      <c r="E27" s="34" t="s">
        <v>127</v>
      </c>
      <c r="F27" s="35"/>
      <c r="G27" s="35"/>
    </row>
    <row r="28" spans="1:7" x14ac:dyDescent="0.25">
      <c r="A28" s="54"/>
      <c r="B28" s="36"/>
      <c r="C28" s="36"/>
      <c r="D28" s="36"/>
      <c r="E28" s="36"/>
      <c r="F28" s="36"/>
      <c r="G28" s="36"/>
    </row>
    <row r="29" spans="1:7" x14ac:dyDescent="0.25">
      <c r="A29" s="52" t="s">
        <v>53</v>
      </c>
      <c r="B29" s="34" t="s">
        <v>128</v>
      </c>
      <c r="C29" s="34" t="s">
        <v>138</v>
      </c>
      <c r="D29" s="34" t="s">
        <v>139</v>
      </c>
      <c r="E29" s="34" t="s">
        <v>125</v>
      </c>
      <c r="F29" s="34" t="s">
        <v>120</v>
      </c>
      <c r="G29" s="34" t="s">
        <v>133</v>
      </c>
    </row>
    <row r="30" spans="1:7" x14ac:dyDescent="0.25">
      <c r="A30" s="53"/>
      <c r="B30" s="34" t="s">
        <v>129</v>
      </c>
      <c r="C30" s="34" t="s">
        <v>135</v>
      </c>
      <c r="D30" s="34" t="s">
        <v>130</v>
      </c>
      <c r="E30" s="35"/>
      <c r="F30" s="35"/>
      <c r="G30" s="35"/>
    </row>
    <row r="31" spans="1:7" x14ac:dyDescent="0.25">
      <c r="A31" s="54"/>
      <c r="B31" s="36"/>
      <c r="C31" s="36"/>
      <c r="D31" s="36"/>
      <c r="E31" s="36"/>
      <c r="F31" s="36"/>
      <c r="G31" s="36"/>
    </row>
    <row r="32" spans="1:7" x14ac:dyDescent="0.25">
      <c r="A32" s="52" t="s">
        <v>54</v>
      </c>
      <c r="B32" s="34" t="s">
        <v>128</v>
      </c>
      <c r="C32" s="34" t="s">
        <v>139</v>
      </c>
      <c r="D32" s="34" t="s">
        <v>130</v>
      </c>
      <c r="E32" s="34" t="s">
        <v>133</v>
      </c>
      <c r="F32" s="34" t="s">
        <v>138</v>
      </c>
      <c r="G32" s="36"/>
    </row>
    <row r="33" spans="1:7" x14ac:dyDescent="0.25">
      <c r="A33" s="53"/>
      <c r="B33" s="36"/>
      <c r="C33" s="36"/>
      <c r="D33" s="36"/>
      <c r="E33" s="36"/>
      <c r="F33" s="36"/>
      <c r="G33" s="36"/>
    </row>
    <row r="34" spans="1:7" x14ac:dyDescent="0.25">
      <c r="A34" s="54"/>
      <c r="B34" s="19"/>
      <c r="C34" s="19"/>
      <c r="D34" s="19"/>
      <c r="E34" s="19"/>
      <c r="F34" s="19"/>
      <c r="G34" s="19"/>
    </row>
    <row r="35" spans="1:7" x14ac:dyDescent="0.25">
      <c r="A35" s="61" t="s">
        <v>37</v>
      </c>
      <c r="B35" s="62"/>
      <c r="C35" s="62"/>
      <c r="D35" s="62"/>
      <c r="E35" s="62"/>
      <c r="F35" s="62"/>
      <c r="G35" s="63"/>
    </row>
    <row r="36" spans="1:7" x14ac:dyDescent="0.25">
      <c r="A36" s="52" t="s">
        <v>50</v>
      </c>
      <c r="B36" s="33" t="s">
        <v>139</v>
      </c>
      <c r="C36" s="19"/>
      <c r="D36" s="19"/>
      <c r="E36" s="19"/>
      <c r="F36" s="19"/>
      <c r="G36" s="19"/>
    </row>
    <row r="37" spans="1:7" x14ac:dyDescent="0.25">
      <c r="A37" s="53"/>
      <c r="B37" s="19"/>
      <c r="C37" s="19"/>
      <c r="D37" s="19"/>
      <c r="E37" s="19"/>
      <c r="F37" s="19"/>
      <c r="G37" s="19"/>
    </row>
    <row r="38" spans="1:7" x14ac:dyDescent="0.25">
      <c r="A38" s="54"/>
      <c r="B38" s="19"/>
      <c r="C38" s="19"/>
      <c r="D38" s="19"/>
      <c r="E38" s="19"/>
      <c r="F38" s="19"/>
      <c r="G38" s="19"/>
    </row>
    <row r="39" spans="1:7" x14ac:dyDescent="0.25">
      <c r="A39" s="52" t="s">
        <v>51</v>
      </c>
      <c r="B39" s="19"/>
      <c r="C39" s="19"/>
      <c r="D39" s="19"/>
      <c r="E39" s="19"/>
      <c r="F39" s="19"/>
      <c r="G39" s="19"/>
    </row>
    <row r="40" spans="1:7" x14ac:dyDescent="0.25">
      <c r="A40" s="53"/>
      <c r="B40" s="19"/>
      <c r="C40" s="19"/>
      <c r="D40" s="19"/>
      <c r="E40" s="19"/>
      <c r="F40" s="19"/>
      <c r="G40" s="19"/>
    </row>
    <row r="41" spans="1:7" x14ac:dyDescent="0.25">
      <c r="A41" s="54"/>
      <c r="B41" s="19"/>
      <c r="C41" s="19"/>
      <c r="D41" s="19"/>
      <c r="E41" s="19"/>
      <c r="F41" s="19"/>
      <c r="G41" s="19"/>
    </row>
    <row r="42" spans="1:7" x14ac:dyDescent="0.25">
      <c r="A42" s="52" t="s">
        <v>52</v>
      </c>
      <c r="B42" s="33" t="s">
        <v>141</v>
      </c>
      <c r="C42" s="19"/>
      <c r="D42" s="19"/>
      <c r="E42" s="19"/>
      <c r="F42" s="19"/>
      <c r="G42" s="19"/>
    </row>
    <row r="43" spans="1:7" x14ac:dyDescent="0.25">
      <c r="A43" s="53"/>
      <c r="B43" s="19"/>
      <c r="C43" s="19"/>
      <c r="D43" s="19"/>
      <c r="E43" s="19"/>
      <c r="F43" s="19"/>
      <c r="G43" s="19"/>
    </row>
    <row r="44" spans="1:7" x14ac:dyDescent="0.25">
      <c r="A44" s="54"/>
      <c r="B44" s="19"/>
      <c r="C44" s="19"/>
      <c r="D44" s="19"/>
      <c r="E44" s="19"/>
      <c r="F44" s="19"/>
      <c r="G44" s="19"/>
    </row>
    <row r="45" spans="1:7" x14ac:dyDescent="0.25">
      <c r="A45" s="52" t="s">
        <v>53</v>
      </c>
      <c r="B45" s="19"/>
      <c r="C45" s="19"/>
      <c r="D45" s="19"/>
      <c r="E45" s="19"/>
      <c r="F45" s="19"/>
      <c r="G45" s="19"/>
    </row>
    <row r="46" spans="1:7" x14ac:dyDescent="0.25">
      <c r="A46" s="53"/>
      <c r="B46" s="19"/>
      <c r="C46" s="19"/>
      <c r="D46" s="19"/>
      <c r="E46" s="19"/>
      <c r="F46" s="19"/>
      <c r="G46" s="19"/>
    </row>
    <row r="47" spans="1:7" x14ac:dyDescent="0.25">
      <c r="A47" s="54"/>
      <c r="B47" s="19"/>
      <c r="C47" s="19"/>
      <c r="D47" s="19"/>
      <c r="E47" s="19"/>
      <c r="F47" s="19"/>
      <c r="G47" s="19"/>
    </row>
    <row r="48" spans="1:7" x14ac:dyDescent="0.25">
      <c r="A48" s="52" t="s">
        <v>54</v>
      </c>
      <c r="B48" s="19" t="s">
        <v>141</v>
      </c>
      <c r="C48" s="19" t="s">
        <v>134</v>
      </c>
      <c r="D48" s="33" t="s">
        <v>129</v>
      </c>
      <c r="E48" s="33" t="s">
        <v>125</v>
      </c>
      <c r="F48" s="33" t="s">
        <v>135</v>
      </c>
      <c r="G48" s="19"/>
    </row>
    <row r="49" spans="1:7" x14ac:dyDescent="0.25">
      <c r="A49" s="53"/>
      <c r="B49" s="19"/>
      <c r="C49" s="19"/>
      <c r="D49" s="19"/>
      <c r="E49" s="19"/>
      <c r="F49" s="19"/>
      <c r="G49" s="19"/>
    </row>
    <row r="50" spans="1:7" x14ac:dyDescent="0.25">
      <c r="A50" s="54"/>
      <c r="B50" s="19"/>
      <c r="C50" s="19"/>
      <c r="D50" s="19"/>
      <c r="E50" s="19"/>
      <c r="F50" s="19"/>
      <c r="G50" s="19"/>
    </row>
    <row r="51" spans="1:7" x14ac:dyDescent="0.25">
      <c r="A51" s="61" t="s">
        <v>23</v>
      </c>
      <c r="B51" s="62"/>
      <c r="C51" s="62"/>
      <c r="D51" s="62"/>
      <c r="E51" s="62"/>
      <c r="F51" s="62"/>
      <c r="G51" s="63"/>
    </row>
    <row r="52" spans="1:7" x14ac:dyDescent="0.25">
      <c r="A52" s="52" t="s">
        <v>50</v>
      </c>
      <c r="B52" s="33" t="s">
        <v>141</v>
      </c>
      <c r="C52" s="33" t="s">
        <v>132</v>
      </c>
      <c r="D52" s="19"/>
      <c r="E52" s="19"/>
      <c r="F52" s="19"/>
      <c r="G52" s="19"/>
    </row>
    <row r="53" spans="1:7" x14ac:dyDescent="0.25">
      <c r="A53" s="53"/>
      <c r="B53" s="19"/>
      <c r="C53" s="19"/>
      <c r="D53" s="19"/>
      <c r="E53" s="19"/>
      <c r="F53" s="19"/>
      <c r="G53" s="19"/>
    </row>
    <row r="54" spans="1:7" x14ac:dyDescent="0.25">
      <c r="A54" s="54"/>
      <c r="B54" s="19"/>
      <c r="C54" s="19"/>
      <c r="D54" s="19"/>
      <c r="E54" s="19"/>
      <c r="F54" s="19"/>
      <c r="G54" s="19"/>
    </row>
    <row r="55" spans="1:7" x14ac:dyDescent="0.25">
      <c r="A55" s="52" t="s">
        <v>51</v>
      </c>
      <c r="B55" s="33" t="s">
        <v>134</v>
      </c>
      <c r="C55" s="33" t="s">
        <v>141</v>
      </c>
      <c r="D55" s="19"/>
      <c r="E55" s="19"/>
      <c r="F55" s="19"/>
      <c r="G55" s="19"/>
    </row>
    <row r="56" spans="1:7" x14ac:dyDescent="0.25">
      <c r="A56" s="53"/>
      <c r="B56" s="19"/>
      <c r="C56" s="19"/>
      <c r="D56" s="19"/>
      <c r="E56" s="19"/>
      <c r="F56" s="19"/>
      <c r="G56" s="19"/>
    </row>
    <row r="57" spans="1:7" x14ac:dyDescent="0.25">
      <c r="A57" s="54"/>
      <c r="B57" s="19"/>
      <c r="C57" s="19"/>
      <c r="D57" s="19"/>
      <c r="E57" s="19"/>
      <c r="F57" s="19"/>
      <c r="G57" s="19"/>
    </row>
    <row r="58" spans="1:7" x14ac:dyDescent="0.25">
      <c r="A58" s="52" t="s">
        <v>52</v>
      </c>
      <c r="B58" s="33" t="s">
        <v>140</v>
      </c>
      <c r="C58" s="19"/>
      <c r="D58" s="19"/>
      <c r="E58" s="19"/>
      <c r="F58" s="19"/>
      <c r="G58" s="19"/>
    </row>
    <row r="59" spans="1:7" x14ac:dyDescent="0.25">
      <c r="A59" s="53"/>
      <c r="B59" s="19"/>
      <c r="C59" s="19"/>
      <c r="D59" s="19"/>
      <c r="E59" s="19"/>
      <c r="F59" s="19"/>
      <c r="G59" s="19"/>
    </row>
    <row r="60" spans="1:7" x14ac:dyDescent="0.25">
      <c r="A60" s="54"/>
      <c r="B60" s="19"/>
      <c r="C60" s="19"/>
      <c r="D60" s="19"/>
      <c r="E60" s="19"/>
      <c r="F60" s="19"/>
      <c r="G60" s="19"/>
    </row>
    <row r="61" spans="1:7" ht="15" customHeight="1" x14ac:dyDescent="0.25">
      <c r="A61" s="52" t="s">
        <v>53</v>
      </c>
      <c r="B61" s="33" t="s">
        <v>141</v>
      </c>
      <c r="C61" s="19"/>
      <c r="D61" s="19"/>
      <c r="E61" s="19"/>
      <c r="F61" s="19"/>
      <c r="G61" s="19"/>
    </row>
    <row r="62" spans="1:7" x14ac:dyDescent="0.25">
      <c r="A62" s="53"/>
      <c r="B62" s="19"/>
      <c r="C62" s="19"/>
      <c r="D62" s="19"/>
      <c r="E62" s="19"/>
      <c r="F62" s="19"/>
      <c r="G62" s="19"/>
    </row>
    <row r="63" spans="1:7" x14ac:dyDescent="0.25">
      <c r="A63" s="54"/>
      <c r="B63" s="19"/>
      <c r="C63" s="19"/>
      <c r="D63" s="19"/>
      <c r="E63" s="19"/>
      <c r="F63" s="19"/>
      <c r="G63" s="19"/>
    </row>
    <row r="64" spans="1:7" x14ac:dyDescent="0.25">
      <c r="A64" s="52" t="s">
        <v>54</v>
      </c>
      <c r="B64" s="19" t="s">
        <v>142</v>
      </c>
      <c r="C64" s="19" t="s">
        <v>120</v>
      </c>
      <c r="D64" s="19"/>
      <c r="E64" s="19"/>
      <c r="F64" s="19"/>
      <c r="G64" s="19"/>
    </row>
    <row r="65" spans="1:7" x14ac:dyDescent="0.25">
      <c r="A65" s="53"/>
      <c r="B65" s="19"/>
      <c r="C65" s="19"/>
      <c r="D65" s="19"/>
      <c r="E65" s="19"/>
      <c r="F65" s="19"/>
      <c r="G65" s="19"/>
    </row>
    <row r="66" spans="1:7" x14ac:dyDescent="0.25">
      <c r="A66" s="54"/>
      <c r="B66" s="19"/>
      <c r="C66" s="19"/>
      <c r="D66" s="19"/>
      <c r="E66" s="19"/>
      <c r="F66" s="19"/>
      <c r="G66" s="19"/>
    </row>
  </sheetData>
  <mergeCells count="27">
    <mergeCell ref="A23:A25"/>
    <mergeCell ref="A26:A28"/>
    <mergeCell ref="A39:A41"/>
    <mergeCell ref="A42:A44"/>
    <mergeCell ref="A55:A57"/>
    <mergeCell ref="A29:A31"/>
    <mergeCell ref="A32:A34"/>
    <mergeCell ref="A36:A38"/>
    <mergeCell ref="A45:A47"/>
    <mergeCell ref="A48:A50"/>
    <mergeCell ref="A35:G35"/>
    <mergeCell ref="A64:A66"/>
    <mergeCell ref="A51:G51"/>
    <mergeCell ref="A52:A54"/>
    <mergeCell ref="A61:A63"/>
    <mergeCell ref="A58:A60"/>
    <mergeCell ref="B5:G5"/>
    <mergeCell ref="A7:A10"/>
    <mergeCell ref="A11:G11"/>
    <mergeCell ref="A18:G18"/>
    <mergeCell ref="A20:A22"/>
    <mergeCell ref="D7:E10"/>
    <mergeCell ref="A1:G1"/>
    <mergeCell ref="A2:G2"/>
    <mergeCell ref="B3:G3"/>
    <mergeCell ref="B4:C4"/>
    <mergeCell ref="E4:G4"/>
  </mergeCells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5" x14ac:dyDescent="0.25"/>
  <sheetData>
    <row r="1" spans="1:2" x14ac:dyDescent="0.25">
      <c r="A1" s="14" t="s">
        <v>11</v>
      </c>
      <c r="B1" s="14">
        <f>score_sheet!B10</f>
        <v>3790062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Ranu Chauhan (On Contract)</cp:lastModifiedBy>
  <dcterms:created xsi:type="dcterms:W3CDTF">2015-05-01T13:34:33Z</dcterms:created>
  <dcterms:modified xsi:type="dcterms:W3CDTF">2026-08-19T05:49:29Z</dcterms:modified>
</cp:coreProperties>
</file>