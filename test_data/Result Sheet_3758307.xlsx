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nu\Desktop\Assessment and Design team\Analitics\new analytics work started on 19aug26\"/>
    </mc:Choice>
  </mc:AlternateContent>
  <xr:revisionPtr revIDLastSave="0" documentId="13_ncr:1_{65963256-FEB2-4E51-AEB1-95EBE8EC6160}" xr6:coauthVersionLast="47" xr6:coauthVersionMax="47" xr10:uidLastSave="{00000000-0000-0000-0000-000000000000}"/>
  <bookViews>
    <workbookView xWindow="-120" yWindow="0" windowWidth="11910" windowHeight="10905" activeTab="1" xr2:uid="{00000000-000D-0000-FFFF-FFFF00000000}"/>
  </bookViews>
  <sheets>
    <sheet name="score_sheet" sheetId="1" r:id="rId1"/>
    <sheet name="Batch Analysis - Tabular" sheetId="5" r:id="rId2"/>
    <sheet name="Batch Analysis - Graph" sheetId="6" r:id="rId3"/>
  </sheets>
  <definedNames>
    <definedName name="_xlnm._FilterDatabase" localSheetId="0" hidden="1">score_sheet!$A$13:$R$30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" i="1" l="1"/>
  <c r="R15" i="1" s="1"/>
  <c r="Q15" i="1" s="1"/>
  <c r="P16" i="1"/>
  <c r="R16" i="1" s="1"/>
  <c r="Q16" i="1" s="1"/>
  <c r="P17" i="1"/>
  <c r="R17" i="1" s="1"/>
  <c r="Q17" i="1" s="1"/>
  <c r="P18" i="1"/>
  <c r="R18" i="1"/>
  <c r="Q18" i="1" s="1"/>
  <c r="P19" i="1"/>
  <c r="R19" i="1" s="1"/>
  <c r="Q19" i="1" s="1"/>
  <c r="P20" i="1"/>
  <c r="R20" i="1" s="1"/>
  <c r="Q20" i="1" s="1"/>
  <c r="P21" i="1"/>
  <c r="R21" i="1" s="1"/>
  <c r="Q21" i="1" s="1"/>
  <c r="P22" i="1"/>
  <c r="R22" i="1" s="1"/>
  <c r="Q22" i="1" s="1"/>
  <c r="P23" i="1"/>
  <c r="R23" i="1" s="1"/>
  <c r="Q23" i="1" s="1"/>
  <c r="P24" i="1"/>
  <c r="R24" i="1" s="1"/>
  <c r="Q24" i="1" s="1"/>
  <c r="P25" i="1"/>
  <c r="R25" i="1" s="1"/>
  <c r="Q25" i="1" s="1"/>
  <c r="P26" i="1"/>
  <c r="R26" i="1" s="1"/>
  <c r="Q26" i="1" s="1"/>
  <c r="P27" i="1"/>
  <c r="R27" i="1" s="1"/>
  <c r="Q27" i="1" s="1"/>
  <c r="P28" i="1"/>
  <c r="R28" i="1" s="1"/>
  <c r="Q28" i="1" s="1"/>
  <c r="P29" i="1"/>
  <c r="R29" i="1" s="1"/>
  <c r="Q29" i="1" s="1"/>
  <c r="P30" i="1"/>
  <c r="R30" i="1" s="1"/>
  <c r="Q30" i="1" s="1"/>
  <c r="P14" i="1"/>
  <c r="R14" i="1" s="1"/>
  <c r="Q14" i="1" s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M14" i="1"/>
  <c r="K14" i="1"/>
  <c r="I14" i="1"/>
  <c r="G14" i="1"/>
  <c r="G17" i="5" l="1"/>
  <c r="F17" i="5"/>
  <c r="E17" i="5"/>
  <c r="D17" i="5"/>
  <c r="C17" i="5"/>
  <c r="G16" i="5"/>
  <c r="F16" i="5"/>
  <c r="E16" i="5"/>
  <c r="D16" i="5"/>
  <c r="C16" i="5"/>
  <c r="G15" i="5"/>
  <c r="F15" i="5"/>
  <c r="E15" i="5"/>
  <c r="D15" i="5"/>
  <c r="C15" i="5"/>
  <c r="G14" i="5"/>
  <c r="F14" i="5"/>
  <c r="E14" i="5"/>
  <c r="D14" i="5"/>
  <c r="C14" i="5"/>
  <c r="G10" i="5" l="1"/>
  <c r="G9" i="5"/>
  <c r="F10" i="5"/>
  <c r="F9" i="5"/>
  <c r="G8" i="5" l="1"/>
  <c r="G13" i="5" l="1"/>
  <c r="F13" i="5"/>
  <c r="E13" i="5"/>
  <c r="D13" i="5"/>
  <c r="C13" i="5"/>
  <c r="B6" i="5" l="1"/>
  <c r="B5" i="5"/>
  <c r="B4" i="5"/>
  <c r="B3" i="5"/>
  <c r="F8" i="5"/>
  <c r="C8" i="5" l="1"/>
  <c r="B1" i="6"/>
  <c r="C10" i="5" l="1"/>
  <c r="C9" i="5"/>
  <c r="B15" i="5" l="1"/>
  <c r="B17" i="5"/>
  <c r="B14" i="5"/>
  <c r="B16" i="5"/>
  <c r="B13" i="5"/>
</calcChain>
</file>

<file path=xl/sharedStrings.xml><?xml version="1.0" encoding="utf-8"?>
<sst xmlns="http://schemas.openxmlformats.org/spreadsheetml/2006/main" count="189" uniqueCount="119">
  <si>
    <t>Assessment Agency Name</t>
  </si>
  <si>
    <t>Training Provider Name</t>
  </si>
  <si>
    <t>Qualification Pack Name/Job Role</t>
  </si>
  <si>
    <t>State</t>
  </si>
  <si>
    <t>City</t>
  </si>
  <si>
    <t>Batch ID</t>
  </si>
  <si>
    <t>Trainee Name</t>
  </si>
  <si>
    <t>Assessment Date</t>
  </si>
  <si>
    <t>Candidate ID</t>
  </si>
  <si>
    <t xml:space="preserve">Descriptive Analysis for the Batch </t>
  </si>
  <si>
    <t>BATCH SUMMARY</t>
  </si>
  <si>
    <t>Batch Id</t>
  </si>
  <si>
    <t>Scheme of Assessment</t>
  </si>
  <si>
    <t xml:space="preserve">Pass Criteria </t>
  </si>
  <si>
    <t>QP / Job role</t>
  </si>
  <si>
    <t>QP Result</t>
  </si>
  <si>
    <t>Total</t>
  </si>
  <si>
    <t>Enrolled</t>
  </si>
  <si>
    <t>Appeared</t>
  </si>
  <si>
    <t>Passed</t>
  </si>
  <si>
    <t>NOS SUMMARY</t>
  </si>
  <si>
    <t>% Students Passed 
(On Appeared)</t>
  </si>
  <si>
    <t>WEAK PCs (AVERAGE SCORE LESS THAN 50%)</t>
  </si>
  <si>
    <t>STRONG PCs (AVERAGE SCORE MORE THAN 70%)</t>
  </si>
  <si>
    <t>Overall %</t>
  </si>
  <si>
    <t>Gender Wise Analysis</t>
  </si>
  <si>
    <t>Male</t>
  </si>
  <si>
    <t>Female</t>
  </si>
  <si>
    <t>Gender</t>
  </si>
  <si>
    <t>Pass/Fail</t>
  </si>
  <si>
    <t>Result of QP (Pass/Fail)</t>
  </si>
  <si>
    <t xml:space="preserve">Mean </t>
  </si>
  <si>
    <t xml:space="preserve">Maximum Obtained </t>
  </si>
  <si>
    <t xml:space="preserve">SD </t>
  </si>
  <si>
    <t>Qualification Code</t>
  </si>
  <si>
    <t>Scheme Name</t>
  </si>
  <si>
    <t>Center ID</t>
  </si>
  <si>
    <t>Moderately weak PCs (AVERAGE SCORE BETWEEN 50-70%)</t>
  </si>
  <si>
    <t xml:space="preserve">Minimum Obtained </t>
  </si>
  <si>
    <t xml:space="preserve">Median  </t>
  </si>
  <si>
    <t>Ginger Webs Pvt. Ltd.</t>
  </si>
  <si>
    <t>NA</t>
  </si>
  <si>
    <t>Assessor Name/AR ID</t>
  </si>
  <si>
    <t>Digital Mitra</t>
  </si>
  <si>
    <t>SSC/Q2212</t>
  </si>
  <si>
    <t>SSC/N2204 - Score</t>
  </si>
  <si>
    <t>SSC/N2205 -Score</t>
  </si>
  <si>
    <t>SSC/N2206 - Score</t>
  </si>
  <si>
    <t>SSC/N2207 - Score</t>
  </si>
  <si>
    <t>DGT/VSQ/N0101 -Score</t>
  </si>
  <si>
    <t>SSC/N2204</t>
  </si>
  <si>
    <t>SSC/N2205</t>
  </si>
  <si>
    <t>SSC/N2206</t>
  </si>
  <si>
    <t>SSC/N2207</t>
  </si>
  <si>
    <t>DGT/VSQ/N0101</t>
  </si>
  <si>
    <t>BSDM</t>
  </si>
  <si>
    <t>SOCIAL WELFARE ASSOCIATION OF RURAL DEVLOPMENT</t>
  </si>
  <si>
    <t>Bihar</t>
  </si>
  <si>
    <t>Purnea</t>
  </si>
  <si>
    <t>AR16234 &amp; Vikash Kumar Gupta</t>
  </si>
  <si>
    <t>CHANDAN KUMAR MANDAL</t>
  </si>
  <si>
    <t>EKTA KUMARI</t>
  </si>
  <si>
    <t>SANOJ RAJAK</t>
  </si>
  <si>
    <t>ANIRUDH KUMAR PASWAN</t>
  </si>
  <si>
    <t>MANISH KUMAR PASWAN</t>
  </si>
  <si>
    <t>JYOTI KUMARI</t>
  </si>
  <si>
    <t>SUSHAMA KUMARI</t>
  </si>
  <si>
    <t>HEENA KUMARI</t>
  </si>
  <si>
    <t>SAHIL KUMAR</t>
  </si>
  <si>
    <t>SWATI KUMARI</t>
  </si>
  <si>
    <t>ABHISHEK KUMAR</t>
  </si>
  <si>
    <t>SHITAL KUMARI</t>
  </si>
  <si>
    <t>SAKSHI KUMARI</t>
  </si>
  <si>
    <t>SIMRAN KUMARI</t>
  </si>
  <si>
    <t>ABHISHEK KUMAR SAH</t>
  </si>
  <si>
    <t>RAKESH KUMAR</t>
  </si>
  <si>
    <t>SHALU KUMARI</t>
  </si>
  <si>
    <t>CAN_040015770</t>
  </si>
  <si>
    <t>CAN_040015769</t>
  </si>
  <si>
    <t>CAN_040015768</t>
  </si>
  <si>
    <t>CAN_040015767</t>
  </si>
  <si>
    <t>CAN_040015766</t>
  </si>
  <si>
    <t>CAN_040015765</t>
  </si>
  <si>
    <t>CAN_040015764</t>
  </si>
  <si>
    <t>CAN_040015763</t>
  </si>
  <si>
    <t>CAN_040015762</t>
  </si>
  <si>
    <t>CAN_040015761</t>
  </si>
  <si>
    <t>CAN_040015760</t>
  </si>
  <si>
    <t>CAN_040015759</t>
  </si>
  <si>
    <t>CAN_040015758</t>
  </si>
  <si>
    <t>CAN_040015757</t>
  </si>
  <si>
    <t>CAN_040015756</t>
  </si>
  <si>
    <t>CAN_040015755</t>
  </si>
  <si>
    <t>CAN_040015754</t>
  </si>
  <si>
    <t>F</t>
  </si>
  <si>
    <t>M</t>
  </si>
  <si>
    <t>PC5</t>
  </si>
  <si>
    <t>PC14</t>
  </si>
  <si>
    <t>PC20</t>
  </si>
  <si>
    <t>PC23</t>
  </si>
  <si>
    <t>PC27</t>
  </si>
  <si>
    <t>PC18</t>
  </si>
  <si>
    <t>PC19</t>
  </si>
  <si>
    <t>PC24</t>
  </si>
  <si>
    <t>PC1</t>
  </si>
  <si>
    <t>PC6</t>
  </si>
  <si>
    <t>PC10</t>
  </si>
  <si>
    <t>PC12</t>
  </si>
  <si>
    <t>PC15</t>
  </si>
  <si>
    <t>PC7</t>
  </si>
  <si>
    <t>PC11</t>
  </si>
  <si>
    <t>PC4</t>
  </si>
  <si>
    <t>PC8</t>
  </si>
  <si>
    <t>PC16</t>
  </si>
  <si>
    <t>PC22</t>
  </si>
  <si>
    <t>PC2</t>
  </si>
  <si>
    <t>PC21</t>
  </si>
  <si>
    <t>PC3</t>
  </si>
  <si>
    <t>PC9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</si>
</sst>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9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wrapText="1"/>
    </xf>
    <xf numFmtId="0" fontId="19" fillId="0" borderId="10" xfId="0" applyFont="1" applyBorder="1" applyAlignment="1">
      <alignment horizontal="left"/>
    </xf>
    <xf numFmtId="0" fontId="19" fillId="0" borderId="10" xfId="0" applyFont="1" applyBorder="1"/>
    <xf numFmtId="0" fontId="20" fillId="33" borderId="10" xfId="0" applyFont="1" applyFill="1" applyBorder="1"/>
    <xf numFmtId="0" fontId="19" fillId="0" borderId="10" xfId="0" applyFont="1" applyBorder="1" applyAlignment="1">
      <alignment vertical="center"/>
    </xf>
    <xf numFmtId="1" fontId="20" fillId="0" borderId="10" xfId="0" applyNumberFormat="1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 wrapText="1"/>
    </xf>
    <xf numFmtId="1" fontId="20" fillId="0" borderId="10" xfId="0" applyNumberFormat="1" applyFont="1" applyBorder="1" applyAlignment="1">
      <alignment horizontal="center" wrapText="1"/>
    </xf>
    <xf numFmtId="0" fontId="20" fillId="33" borderId="15" xfId="0" applyFont="1" applyFill="1" applyBorder="1" applyAlignment="1">
      <alignment horizontal="center" vertical="center"/>
    </xf>
    <xf numFmtId="0" fontId="20" fillId="33" borderId="10" xfId="0" applyFont="1" applyFill="1" applyBorder="1" applyAlignment="1">
      <alignment horizontal="center" vertical="center"/>
    </xf>
    <xf numFmtId="0" fontId="16" fillId="0" borderId="0" xfId="0" applyFont="1"/>
    <xf numFmtId="0" fontId="20" fillId="0" borderId="10" xfId="0" applyFont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wrapText="1"/>
    </xf>
    <xf numFmtId="2" fontId="20" fillId="0" borderId="10" xfId="0" applyNumberFormat="1" applyFont="1" applyBorder="1" applyAlignment="1">
      <alignment horizontal="center"/>
    </xf>
    <xf numFmtId="2" fontId="20" fillId="0" borderId="10" xfId="42" applyNumberFormat="1" applyFont="1" applyFill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0" fillId="0" borderId="12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19" fillId="0" borderId="10" xfId="0" applyFont="1" applyBorder="1" applyAlignment="1">
      <alignment horizontal="left" vertical="center" wrapText="1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1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22" fillId="0" borderId="23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/>
    <xf numFmtId="0" fontId="21" fillId="0" borderId="10" xfId="0" applyFont="1" applyBorder="1" applyAlignment="1">
      <alignment horizontal="center"/>
    </xf>
    <xf numFmtId="0" fontId="18" fillId="33" borderId="15" xfId="0" applyFont="1" applyFill="1" applyBorder="1" applyAlignment="1">
      <alignment horizontal="center" vertical="center" wrapText="1"/>
    </xf>
    <xf numFmtId="0" fontId="18" fillId="33" borderId="18" xfId="0" applyFont="1" applyFill="1" applyBorder="1" applyAlignment="1">
      <alignment horizontal="center" vertical="center" wrapText="1"/>
    </xf>
    <xf numFmtId="0" fontId="18" fillId="33" borderId="20" xfId="0" applyFont="1" applyFill="1" applyBorder="1" applyAlignment="1">
      <alignment horizontal="center" vertical="center" wrapText="1"/>
    </xf>
    <xf numFmtId="0" fontId="19" fillId="34" borderId="12" xfId="0" applyFont="1" applyFill="1" applyBorder="1" applyAlignment="1">
      <alignment horizontal="center" vertical="center"/>
    </xf>
    <xf numFmtId="0" fontId="19" fillId="34" borderId="13" xfId="0" applyFont="1" applyFill="1" applyBorder="1" applyAlignment="1">
      <alignment horizontal="center" vertical="center"/>
    </xf>
    <xf numFmtId="0" fontId="19" fillId="34" borderId="14" xfId="0" applyFont="1" applyFill="1" applyBorder="1" applyAlignment="1">
      <alignment horizontal="center" vertical="center"/>
    </xf>
    <xf numFmtId="164" fontId="20" fillId="0" borderId="12" xfId="0" applyNumberFormat="1" applyFont="1" applyBorder="1" applyAlignment="1">
      <alignment horizontal="left"/>
    </xf>
    <xf numFmtId="164" fontId="20" fillId="0" borderId="13" xfId="0" applyNumberFormat="1" applyFont="1" applyBorder="1" applyAlignment="1">
      <alignment horizontal="left"/>
    </xf>
    <xf numFmtId="164" fontId="20" fillId="0" borderId="14" xfId="0" applyNumberFormat="1" applyFont="1" applyBorder="1" applyAlignment="1">
      <alignment horizontal="left"/>
    </xf>
    <xf numFmtId="0" fontId="19" fillId="0" borderId="15" xfId="0" applyFont="1" applyBorder="1" applyAlignment="1">
      <alignment horizontal="left" vertical="center"/>
    </xf>
    <xf numFmtId="0" fontId="19" fillId="0" borderId="18" xfId="0" applyFont="1" applyBorder="1" applyAlignment="1">
      <alignment horizontal="left" vertical="center"/>
    </xf>
    <xf numFmtId="0" fontId="19" fillId="0" borderId="20" xfId="0" applyFont="1" applyBorder="1" applyAlignment="1">
      <alignment horizontal="left" vertical="center"/>
    </xf>
    <xf numFmtId="0" fontId="19" fillId="34" borderId="10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20" fillId="33" borderId="12" xfId="0" applyFont="1" applyFill="1" applyBorder="1" applyAlignment="1">
      <alignment horizontal="left"/>
    </xf>
    <xf numFmtId="0" fontId="20" fillId="33" borderId="14" xfId="0" applyFont="1" applyFill="1" applyBorder="1" applyAlignment="1">
      <alignment horizontal="left"/>
    </xf>
    <xf numFmtId="9" fontId="20" fillId="33" borderId="12" xfId="0" applyNumberFormat="1" applyFont="1" applyFill="1" applyBorder="1" applyAlignment="1">
      <alignment horizontal="left"/>
    </xf>
    <xf numFmtId="0" fontId="20" fillId="33" borderId="13" xfId="0" applyFont="1" applyFill="1" applyBorder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QP Result Snapshot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Tabular'!$B$8</c:f>
              <c:strCache>
                <c:ptCount val="1"/>
                <c:pt idx="0">
                  <c:v>Enrolled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Tabular'!$C$8</c:f>
              <c:numCache>
                <c:formatCode>0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0B-4AB6-B47C-7A0D3EEADE4A}"/>
            </c:ext>
          </c:extLst>
        </c:ser>
        <c:ser>
          <c:idx val="1"/>
          <c:order val="1"/>
          <c:tx>
            <c:strRef>
              <c:f>'Batch Analysis - Tabular'!$B$9</c:f>
              <c:strCache>
                <c:ptCount val="1"/>
                <c:pt idx="0">
                  <c:v>Appeared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Tabular'!$C$9</c:f>
              <c:numCache>
                <c:formatCode>0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0B-4AB6-B47C-7A0D3EEADE4A}"/>
            </c:ext>
          </c:extLst>
        </c:ser>
        <c:ser>
          <c:idx val="2"/>
          <c:order val="2"/>
          <c:tx>
            <c:strRef>
              <c:f>'Batch Analysis - Tabular'!$B$10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'Batch Analysis - Tabular'!$C$10</c:f>
              <c:numCache>
                <c:formatCode>0</c:formatCode>
                <c:ptCount val="1"/>
                <c:pt idx="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0B-4AB6-B47C-7A0D3EEADE4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945024"/>
        <c:axId val="200950912"/>
      </c:barChart>
      <c:catAx>
        <c:axId val="200945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950912"/>
        <c:crosses val="autoZero"/>
        <c:auto val="1"/>
        <c:lblAlgn val="ctr"/>
        <c:lblOffset val="100"/>
        <c:noMultiLvlLbl val="0"/>
      </c:catAx>
      <c:valAx>
        <c:axId val="2009509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45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NOS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866121885993002E-2"/>
          <c:y val="0.12843267108167772"/>
          <c:w val="0.90540861031312492"/>
          <c:h val="0.55225773930576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Tabular'!$B$12</c:f>
              <c:strCache>
                <c:ptCount val="1"/>
                <c:pt idx="0">
                  <c:v>% Students Passed 
(On Appeared)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Tabular'!$B$13:$B$17</c:f>
              <c:numCache>
                <c:formatCode>0</c:formatCode>
                <c:ptCount val="5"/>
                <c:pt idx="0">
                  <c:v>94.117647058823522</c:v>
                </c:pt>
                <c:pt idx="1">
                  <c:v>94.117647058823522</c:v>
                </c:pt>
                <c:pt idx="2">
                  <c:v>94.117647058823522</c:v>
                </c:pt>
                <c:pt idx="3">
                  <c:v>94.117647058823522</c:v>
                </c:pt>
                <c:pt idx="4">
                  <c:v>94.117647058823522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B-4317-8D9C-D337FEBBBF3E}"/>
            </c:ext>
          </c:extLst>
        </c:ser>
        <c:ser>
          <c:idx val="1"/>
          <c:order val="1"/>
          <c:tx>
            <c:strRef>
              <c:f>'Batch Analysis - Tabular'!$C$12</c:f>
              <c:strCache>
                <c:ptCount val="1"/>
                <c:pt idx="0">
                  <c:v>Mean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Tabular'!$C$13:$C$17</c:f>
              <c:numCache>
                <c:formatCode>0.00</c:formatCode>
                <c:ptCount val="5"/>
                <c:pt idx="0">
                  <c:v>61.841176470588231</c:v>
                </c:pt>
                <c:pt idx="1">
                  <c:v>63.094117647058816</c:v>
                </c:pt>
                <c:pt idx="2">
                  <c:v>59.59411764705883</c:v>
                </c:pt>
                <c:pt idx="3">
                  <c:v>64.329411764705895</c:v>
                </c:pt>
                <c:pt idx="4">
                  <c:v>32.058823529411768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AB-4317-8D9C-D337FEBBBF3E}"/>
            </c:ext>
          </c:extLst>
        </c:ser>
        <c:ser>
          <c:idx val="2"/>
          <c:order val="2"/>
          <c:tx>
            <c:strRef>
              <c:f>'Batch Analysis - Tabular'!$D$12</c:f>
              <c:strCache>
                <c:ptCount val="1"/>
                <c:pt idx="0">
                  <c:v>Minimum Obtained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Tabular'!$D$13:$D$17</c:f>
              <c:numCache>
                <c:formatCode>0.00</c:formatCode>
                <c:ptCount val="5"/>
                <c:pt idx="0">
                  <c:v>50</c:v>
                </c:pt>
                <c:pt idx="1">
                  <c:v>38.700000000000003</c:v>
                </c:pt>
                <c:pt idx="2">
                  <c:v>33.200000000000003</c:v>
                </c:pt>
                <c:pt idx="3">
                  <c:v>13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FAB-4317-8D9C-D337FEBBBF3E}"/>
            </c:ext>
          </c:extLst>
        </c:ser>
        <c:ser>
          <c:idx val="3"/>
          <c:order val="3"/>
          <c:tx>
            <c:strRef>
              <c:f>'Batch Analysis - Tabular'!$E$12</c:f>
              <c:strCache>
                <c:ptCount val="1"/>
                <c:pt idx="0">
                  <c:v>Maximum Obtained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8.830022075055187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FAB-4317-8D9C-D337FEBBBF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Tabular'!$E$13:$E$17</c:f>
              <c:numCache>
                <c:formatCode>0.00</c:formatCode>
                <c:ptCount val="5"/>
                <c:pt idx="0">
                  <c:v>75.8</c:v>
                </c:pt>
                <c:pt idx="1">
                  <c:v>77.400000000000006</c:v>
                </c:pt>
                <c:pt idx="2">
                  <c:v>73.7</c:v>
                </c:pt>
                <c:pt idx="3">
                  <c:v>78.7</c:v>
                </c:pt>
                <c:pt idx="4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AB-4317-8D9C-D337FEBBBF3E}"/>
            </c:ext>
          </c:extLst>
        </c:ser>
        <c:ser>
          <c:idx val="4"/>
          <c:order val="4"/>
          <c:tx>
            <c:strRef>
              <c:f>'Batch Analysis - Tabular'!$F$12</c:f>
              <c:strCache>
                <c:ptCount val="1"/>
                <c:pt idx="0">
                  <c:v>Median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Tabular'!$F$13:$F$17</c:f>
              <c:numCache>
                <c:formatCode>0.00</c:formatCode>
                <c:ptCount val="5"/>
                <c:pt idx="0">
                  <c:v>61.2</c:v>
                </c:pt>
                <c:pt idx="1">
                  <c:v>63.7</c:v>
                </c:pt>
                <c:pt idx="2">
                  <c:v>60.6</c:v>
                </c:pt>
                <c:pt idx="3">
                  <c:v>65.8</c:v>
                </c:pt>
                <c:pt idx="4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FAB-4317-8D9C-D337FEBBBF3E}"/>
            </c:ext>
          </c:extLst>
        </c:ser>
        <c:ser>
          <c:idx val="5"/>
          <c:order val="5"/>
          <c:tx>
            <c:strRef>
              <c:f>'Batch Analysis - Tabular'!$G$12</c:f>
              <c:strCache>
                <c:ptCount val="1"/>
                <c:pt idx="0">
                  <c:v>SD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Tabular'!$A$13:$A$17</c:f>
              <c:strCache>
                <c:ptCount val="5"/>
                <c:pt idx="0">
                  <c:v>SSC/N2204</c:v>
                </c:pt>
                <c:pt idx="1">
                  <c:v>SSC/N2205</c:v>
                </c:pt>
                <c:pt idx="2">
                  <c:v>SSC/N2206</c:v>
                </c:pt>
                <c:pt idx="3">
                  <c:v>SSC/N2207</c:v>
                </c:pt>
                <c:pt idx="4">
                  <c:v>DGT/VSQ/N0101</c:v>
                </c:pt>
              </c:strCache>
            </c:strRef>
          </c:cat>
          <c:val>
            <c:numRef>
              <c:f>'Batch Analysis - Tabular'!$G$13:$G$17</c:f>
              <c:numCache>
                <c:formatCode>0.00</c:formatCode>
                <c:ptCount val="5"/>
                <c:pt idx="0">
                  <c:v>6.3262347154323111</c:v>
                </c:pt>
                <c:pt idx="1">
                  <c:v>8.6618480970719034</c:v>
                </c:pt>
                <c:pt idx="2">
                  <c:v>10.236869385202079</c:v>
                </c:pt>
                <c:pt idx="3">
                  <c:v>13.986916773558381</c:v>
                </c:pt>
                <c:pt idx="4">
                  <c:v>3.1895156968766956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AB-4317-8D9C-D337FEBBB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439488"/>
        <c:axId val="201449472"/>
      </c:barChart>
      <c:catAx>
        <c:axId val="201439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49472"/>
        <c:crosses val="autoZero"/>
        <c:auto val="1"/>
        <c:lblAlgn val="ctr"/>
        <c:lblOffset val="100"/>
        <c:noMultiLvlLbl val="0"/>
      </c:catAx>
      <c:valAx>
        <c:axId val="20144947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439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Gender Wise Analysis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'Batch Analysis - Tabular'!$F$7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Tabular'!$F$8:$F$10</c:f>
              <c:numCache>
                <c:formatCode>General</c:formatCode>
                <c:ptCount val="3"/>
                <c:pt idx="0">
                  <c:v>8</c:v>
                </c:pt>
                <c:pt idx="1">
                  <c:v>8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08-4FAB-92D3-EA1FE57EDF54}"/>
            </c:ext>
          </c:extLst>
        </c:ser>
        <c:ser>
          <c:idx val="1"/>
          <c:order val="1"/>
          <c:tx>
            <c:strRef>
              <c:f>'Batch Analysis - Tabular'!$G$7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'Batch Analysis - Tabular'!$B$8:$B$10</c:f>
              <c:strCache>
                <c:ptCount val="3"/>
                <c:pt idx="0">
                  <c:v>Enrolled</c:v>
                </c:pt>
                <c:pt idx="1">
                  <c:v>Appeared</c:v>
                </c:pt>
                <c:pt idx="2">
                  <c:v>Passed</c:v>
                </c:pt>
              </c:strCache>
            </c:strRef>
          </c:cat>
          <c:val>
            <c:numRef>
              <c:f>'Batch Analysis - Tabular'!$G$8:$G$10</c:f>
              <c:numCache>
                <c:formatCode>General</c:formatCode>
                <c:ptCount val="3"/>
                <c:pt idx="0">
                  <c:v>9</c:v>
                </c:pt>
                <c:pt idx="1">
                  <c:v>9</c:v>
                </c:pt>
                <c:pt idx="2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08-4FAB-92D3-EA1FE57EDF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1210112"/>
        <c:axId val="201216000"/>
      </c:barChart>
      <c:catAx>
        <c:axId val="20121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6000"/>
        <c:crosses val="autoZero"/>
        <c:auto val="1"/>
        <c:lblAlgn val="ctr"/>
        <c:lblOffset val="100"/>
        <c:noMultiLvlLbl val="0"/>
      </c:catAx>
      <c:valAx>
        <c:axId val="20121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192405</xdr:colOff>
      <xdr:row>2</xdr:row>
      <xdr:rowOff>85725</xdr:rowOff>
    </xdr:from>
    <xdr:to>
      <xdr:col>7</xdr:col>
      <xdr:colOff>325755</xdr:colOff>
      <xdr:row>17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483870</xdr:colOff>
      <xdr:row>2</xdr:row>
      <xdr:rowOff>85725</xdr:rowOff>
    </xdr:from>
    <xdr:to>
      <xdr:col>20</xdr:col>
      <xdr:colOff>38100</xdr:colOff>
      <xdr:row>17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293370</xdr:colOff>
      <xdr:row>2</xdr:row>
      <xdr:rowOff>47625</xdr:rowOff>
    </xdr:from>
    <xdr:to>
      <xdr:col>27</xdr:col>
      <xdr:colOff>598170</xdr:colOff>
      <xdr:row>17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51D5ED-3E91-4A0D-970F-0D228C68F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30"/>
  <sheetViews>
    <sheetView showGridLines="0" zoomScale="68" zoomScaleNormal="85" workbookViewId="0">
      <selection activeCell="D14" sqref="D14:D29"/>
    </sheetView>
  </sheetViews>
  <sheetFormatPr defaultColWidth="9.140625" defaultRowHeight="15" x14ac:dyDescent="0.25"/>
  <cols>
    <col min="1" max="1" width="33.140625" bestFit="1" customWidth="1"/>
    <col min="2" max="2" width="31.5703125" customWidth="1"/>
    <col min="3" max="3" width="18" customWidth="1"/>
    <col min="4" max="4" width="10.85546875" bestFit="1" customWidth="1"/>
    <col min="5" max="5" width="16.28515625" bestFit="1" customWidth="1"/>
    <col min="6" max="6" width="13.85546875" customWidth="1"/>
    <col min="7" max="7" width="12.140625" bestFit="1" customWidth="1"/>
    <col min="8" max="8" width="11.7109375" customWidth="1"/>
    <col min="9" max="9" width="12.140625" bestFit="1" customWidth="1"/>
    <col min="10" max="10" width="12.7109375" customWidth="1"/>
    <col min="11" max="11" width="12.140625" bestFit="1" customWidth="1"/>
    <col min="12" max="12" width="12.42578125" customWidth="1"/>
    <col min="13" max="13" width="12.140625" bestFit="1" customWidth="1"/>
    <col min="14" max="14" width="11.5703125" customWidth="1"/>
    <col min="15" max="15" width="12.140625" bestFit="1" customWidth="1"/>
    <col min="16" max="16" width="13.28515625" customWidth="1"/>
    <col min="17" max="17" width="15.85546875" bestFit="1" customWidth="1"/>
    <col min="18" max="18" width="12.42578125" bestFit="1" customWidth="1"/>
  </cols>
  <sheetData>
    <row r="1" spans="1:18" x14ac:dyDescent="0.25">
      <c r="A1" s="24" t="s">
        <v>0</v>
      </c>
      <c r="B1" s="24" t="s">
        <v>40</v>
      </c>
    </row>
    <row r="2" spans="1:18" ht="30" x14ac:dyDescent="0.25">
      <c r="A2" s="24" t="s">
        <v>1</v>
      </c>
      <c r="B2" s="25" t="s">
        <v>56</v>
      </c>
    </row>
    <row r="3" spans="1:18" x14ac:dyDescent="0.25">
      <c r="A3" s="24" t="s">
        <v>2</v>
      </c>
      <c r="B3" s="25" t="s">
        <v>43</v>
      </c>
    </row>
    <row r="4" spans="1:18" x14ac:dyDescent="0.25">
      <c r="A4" s="24" t="s">
        <v>34</v>
      </c>
      <c r="B4" s="24" t="s">
        <v>44</v>
      </c>
    </row>
    <row r="5" spans="1:18" x14ac:dyDescent="0.25">
      <c r="A5" s="24" t="s">
        <v>42</v>
      </c>
      <c r="B5" s="24" t="s">
        <v>59</v>
      </c>
    </row>
    <row r="6" spans="1:18" x14ac:dyDescent="0.25">
      <c r="A6" s="24" t="s">
        <v>35</v>
      </c>
      <c r="B6" s="24" t="s">
        <v>55</v>
      </c>
    </row>
    <row r="7" spans="1:18" x14ac:dyDescent="0.25">
      <c r="A7" s="24" t="s">
        <v>3</v>
      </c>
      <c r="B7" s="24" t="s">
        <v>57</v>
      </c>
    </row>
    <row r="8" spans="1:18" x14ac:dyDescent="0.25">
      <c r="A8" s="24" t="s">
        <v>4</v>
      </c>
      <c r="B8" s="24" t="s">
        <v>58</v>
      </c>
    </row>
    <row r="9" spans="1:18" x14ac:dyDescent="0.25">
      <c r="A9" s="24" t="s">
        <v>36</v>
      </c>
      <c r="B9" s="24" t="s">
        <v>41</v>
      </c>
    </row>
    <row r="10" spans="1:18" x14ac:dyDescent="0.25">
      <c r="A10" s="24" t="s">
        <v>5</v>
      </c>
      <c r="B10" s="24">
        <v>3758307</v>
      </c>
    </row>
    <row r="11" spans="1:18" x14ac:dyDescent="0.25">
      <c r="A11" s="26"/>
      <c r="B11" s="26"/>
    </row>
    <row r="13" spans="1:18" ht="30" x14ac:dyDescent="0.25">
      <c r="A13" s="27" t="s">
        <v>5</v>
      </c>
      <c r="B13" s="27" t="s">
        <v>6</v>
      </c>
      <c r="C13" s="27" t="s">
        <v>8</v>
      </c>
      <c r="D13" s="27" t="s">
        <v>28</v>
      </c>
      <c r="E13" s="27" t="s">
        <v>7</v>
      </c>
      <c r="F13" s="28" t="s">
        <v>45</v>
      </c>
      <c r="G13" s="28" t="s">
        <v>29</v>
      </c>
      <c r="H13" s="28" t="s">
        <v>46</v>
      </c>
      <c r="I13" s="28" t="s">
        <v>29</v>
      </c>
      <c r="J13" s="28" t="s">
        <v>47</v>
      </c>
      <c r="K13" s="28" t="s">
        <v>29</v>
      </c>
      <c r="L13" s="28" t="s">
        <v>48</v>
      </c>
      <c r="M13" s="28" t="s">
        <v>29</v>
      </c>
      <c r="N13" s="28" t="s">
        <v>49</v>
      </c>
      <c r="O13" s="28" t="s">
        <v>29</v>
      </c>
      <c r="P13" s="28" t="s">
        <v>16</v>
      </c>
      <c r="Q13" s="28" t="s">
        <v>30</v>
      </c>
      <c r="R13" s="28" t="s">
        <v>24</v>
      </c>
    </row>
    <row r="14" spans="1:18" x14ac:dyDescent="0.25">
      <c r="A14" s="29">
        <v>3758307</v>
      </c>
      <c r="B14" s="30" t="s">
        <v>60</v>
      </c>
      <c r="C14" s="30" t="s">
        <v>77</v>
      </c>
      <c r="D14" s="30" t="s">
        <v>95</v>
      </c>
      <c r="E14" s="31">
        <v>46206</v>
      </c>
      <c r="F14" s="30">
        <v>53.1</v>
      </c>
      <c r="G14" s="24" t="str">
        <f>IF(F14&gt;=50,"PASS",IF(F14&gt;0,"FAIL", "ABSENT"))</f>
        <v>PASS</v>
      </c>
      <c r="H14" s="30">
        <v>59.1</v>
      </c>
      <c r="I14" s="24" t="str">
        <f>IF(H14&gt;=50,"PASS",IF(H14&gt;0,"FAIL", "ABSENT"))</f>
        <v>PASS</v>
      </c>
      <c r="J14" s="30">
        <v>67.3</v>
      </c>
      <c r="K14" s="24" t="str">
        <f>IF(J14&gt;=50,"PASS",IF(J14&gt;0,"FAIL", "ABSENT"))</f>
        <v>PASS</v>
      </c>
      <c r="L14" s="30">
        <v>57.8</v>
      </c>
      <c r="M14" s="24" t="str">
        <f>IF(L14&gt;=50,"PASS",IF(L14&gt;0,"FAIL", "ABSENT"))</f>
        <v>PASS</v>
      </c>
      <c r="N14" s="30">
        <v>34</v>
      </c>
      <c r="O14" s="24" t="str">
        <f>IF(N14&gt;=25,"PASS",IF(N14&gt;0,"FAIL", "ABSENT"))</f>
        <v>PASS</v>
      </c>
      <c r="P14" s="29">
        <f>F14+H14+J14+L14+N14</f>
        <v>271.3</v>
      </c>
      <c r="Q14" s="24" t="str">
        <f>IF(R14&gt;=50,"PASS",IF(R14&gt;0,"FAIL","ABSENT"))</f>
        <v>PASS</v>
      </c>
      <c r="R14" s="32">
        <f>P14/450*100</f>
        <v>60.288888888888891</v>
      </c>
    </row>
    <row r="15" spans="1:18" hidden="1" x14ac:dyDescent="0.25">
      <c r="A15" s="29">
        <v>3758307</v>
      </c>
      <c r="B15" s="30" t="s">
        <v>61</v>
      </c>
      <c r="C15" s="30" t="s">
        <v>78</v>
      </c>
      <c r="D15" s="30" t="s">
        <v>94</v>
      </c>
      <c r="E15" s="31">
        <v>46206</v>
      </c>
      <c r="F15" s="30">
        <v>50</v>
      </c>
      <c r="G15" s="24" t="str">
        <f t="shared" ref="G15:G30" si="0">IF(F15&gt;=50,"PASS",IF(F15&gt;0,"FAIL", "ABSENT"))</f>
        <v>PASS</v>
      </c>
      <c r="H15" s="30">
        <v>38.700000000000003</v>
      </c>
      <c r="I15" s="24" t="str">
        <f t="shared" ref="I15:I30" si="1">IF(H15&gt;=50,"PASS",IF(H15&gt;0,"FAIL", "ABSENT"))</f>
        <v>FAIL</v>
      </c>
      <c r="J15" s="30">
        <v>33.200000000000003</v>
      </c>
      <c r="K15" s="24" t="str">
        <f t="shared" ref="K15:K30" si="2">IF(J15&gt;=50,"PASS",IF(J15&gt;0,"FAIL", "ABSENT"))</f>
        <v>FAIL</v>
      </c>
      <c r="L15" s="30">
        <v>13</v>
      </c>
      <c r="M15" s="24" t="str">
        <f t="shared" ref="M15:M30" si="3">IF(L15&gt;=50,"PASS",IF(L15&gt;0,"FAIL", "ABSENT"))</f>
        <v>FAIL</v>
      </c>
      <c r="N15" s="30">
        <v>21</v>
      </c>
      <c r="O15" s="24" t="str">
        <f t="shared" ref="O15:O30" si="4">IF(N15&gt;=25,"PASS",IF(N15&gt;0,"FAIL", "ABSENT"))</f>
        <v>FAIL</v>
      </c>
      <c r="P15" s="29">
        <f t="shared" ref="P15:P30" si="5">F15+H15+J15+L15+N15</f>
        <v>155.9</v>
      </c>
      <c r="Q15" s="24" t="str">
        <f t="shared" ref="Q15:Q30" si="6">IF(R15&gt;=50,"PASS",IF(R15&gt;0,"FAIL","ABSENT"))</f>
        <v>FAIL</v>
      </c>
      <c r="R15" s="32">
        <f t="shared" ref="R15:R30" si="7">P15/450*100</f>
        <v>34.644444444444446</v>
      </c>
    </row>
    <row r="16" spans="1:18" x14ac:dyDescent="0.25">
      <c r="A16" s="29">
        <v>3758307</v>
      </c>
      <c r="B16" s="30" t="s">
        <v>62</v>
      </c>
      <c r="C16" s="30" t="s">
        <v>79</v>
      </c>
      <c r="D16" s="30" t="s">
        <v>95</v>
      </c>
      <c r="E16" s="31">
        <v>46206</v>
      </c>
      <c r="F16" s="30">
        <v>62.5</v>
      </c>
      <c r="G16" s="24" t="str">
        <f t="shared" si="0"/>
        <v>PASS</v>
      </c>
      <c r="H16" s="30">
        <v>69.5</v>
      </c>
      <c r="I16" s="24" t="str">
        <f t="shared" si="1"/>
        <v>PASS</v>
      </c>
      <c r="J16" s="30">
        <v>57.4</v>
      </c>
      <c r="K16" s="24" t="str">
        <f t="shared" si="2"/>
        <v>PASS</v>
      </c>
      <c r="L16" s="30">
        <v>67.3</v>
      </c>
      <c r="M16" s="24" t="str">
        <f t="shared" si="3"/>
        <v>PASS</v>
      </c>
      <c r="N16" s="30">
        <v>33</v>
      </c>
      <c r="O16" s="24" t="str">
        <f t="shared" si="4"/>
        <v>PASS</v>
      </c>
      <c r="P16" s="29">
        <f t="shared" si="5"/>
        <v>289.7</v>
      </c>
      <c r="Q16" s="24" t="str">
        <f t="shared" si="6"/>
        <v>PASS</v>
      </c>
      <c r="R16" s="32">
        <f t="shared" si="7"/>
        <v>64.37777777777778</v>
      </c>
    </row>
    <row r="17" spans="1:18" x14ac:dyDescent="0.25">
      <c r="A17" s="29">
        <v>3758307</v>
      </c>
      <c r="B17" s="30" t="s">
        <v>63</v>
      </c>
      <c r="C17" s="30" t="s">
        <v>80</v>
      </c>
      <c r="D17" s="30" t="s">
        <v>95</v>
      </c>
      <c r="E17" s="31">
        <v>46206</v>
      </c>
      <c r="F17" s="30">
        <v>66.7</v>
      </c>
      <c r="G17" s="24" t="str">
        <f t="shared" si="0"/>
        <v>PASS</v>
      </c>
      <c r="H17" s="30">
        <v>56.5</v>
      </c>
      <c r="I17" s="24" t="str">
        <f t="shared" si="1"/>
        <v>PASS</v>
      </c>
      <c r="J17" s="30">
        <v>68.599999999999994</v>
      </c>
      <c r="K17" s="24" t="str">
        <f t="shared" si="2"/>
        <v>PASS</v>
      </c>
      <c r="L17" s="30">
        <v>71.2</v>
      </c>
      <c r="M17" s="24" t="str">
        <f t="shared" si="3"/>
        <v>PASS</v>
      </c>
      <c r="N17" s="30">
        <v>33</v>
      </c>
      <c r="O17" s="24" t="str">
        <f t="shared" si="4"/>
        <v>PASS</v>
      </c>
      <c r="P17" s="29">
        <f t="shared" si="5"/>
        <v>296</v>
      </c>
      <c r="Q17" s="24" t="str">
        <f t="shared" si="6"/>
        <v>PASS</v>
      </c>
      <c r="R17" s="32">
        <f t="shared" si="7"/>
        <v>65.777777777777786</v>
      </c>
    </row>
    <row r="18" spans="1:18" x14ac:dyDescent="0.25">
      <c r="A18" s="29">
        <v>3758307</v>
      </c>
      <c r="B18" s="30" t="s">
        <v>64</v>
      </c>
      <c r="C18" s="30" t="s">
        <v>81</v>
      </c>
      <c r="D18" s="30" t="s">
        <v>95</v>
      </c>
      <c r="E18" s="31">
        <v>46206</v>
      </c>
      <c r="F18" s="30">
        <v>62.9</v>
      </c>
      <c r="G18" s="24" t="str">
        <f t="shared" si="0"/>
        <v>PASS</v>
      </c>
      <c r="H18" s="30">
        <v>55.7</v>
      </c>
      <c r="I18" s="24" t="str">
        <f t="shared" si="1"/>
        <v>PASS</v>
      </c>
      <c r="J18" s="30">
        <v>63.2</v>
      </c>
      <c r="K18" s="24" t="str">
        <f t="shared" si="2"/>
        <v>PASS</v>
      </c>
      <c r="L18" s="30">
        <v>65.8</v>
      </c>
      <c r="M18" s="24" t="str">
        <f t="shared" si="3"/>
        <v>PASS</v>
      </c>
      <c r="N18" s="30">
        <v>34</v>
      </c>
      <c r="O18" s="24" t="str">
        <f t="shared" si="4"/>
        <v>PASS</v>
      </c>
      <c r="P18" s="29">
        <f t="shared" si="5"/>
        <v>281.60000000000002</v>
      </c>
      <c r="Q18" s="24" t="str">
        <f t="shared" si="6"/>
        <v>PASS</v>
      </c>
      <c r="R18" s="32">
        <f t="shared" si="7"/>
        <v>62.57777777777779</v>
      </c>
    </row>
    <row r="19" spans="1:18" hidden="1" x14ac:dyDescent="0.25">
      <c r="A19" s="29">
        <v>3758307</v>
      </c>
      <c r="B19" s="30" t="s">
        <v>65</v>
      </c>
      <c r="C19" s="30" t="s">
        <v>82</v>
      </c>
      <c r="D19" s="30" t="s">
        <v>94</v>
      </c>
      <c r="E19" s="31">
        <v>46206</v>
      </c>
      <c r="F19" s="30">
        <v>64.599999999999994</v>
      </c>
      <c r="G19" s="24" t="str">
        <f t="shared" si="0"/>
        <v>PASS</v>
      </c>
      <c r="H19" s="30">
        <v>63.7</v>
      </c>
      <c r="I19" s="24" t="str">
        <f t="shared" si="1"/>
        <v>PASS</v>
      </c>
      <c r="J19" s="30">
        <v>63.8</v>
      </c>
      <c r="K19" s="24" t="str">
        <f t="shared" si="2"/>
        <v>PASS</v>
      </c>
      <c r="L19" s="30">
        <v>73.8</v>
      </c>
      <c r="M19" s="24" t="str">
        <f t="shared" si="3"/>
        <v>PASS</v>
      </c>
      <c r="N19" s="30">
        <v>32</v>
      </c>
      <c r="O19" s="24" t="str">
        <f t="shared" si="4"/>
        <v>PASS</v>
      </c>
      <c r="P19" s="29">
        <f t="shared" si="5"/>
        <v>297.90000000000003</v>
      </c>
      <c r="Q19" s="24" t="str">
        <f t="shared" si="6"/>
        <v>PASS</v>
      </c>
      <c r="R19" s="32">
        <f t="shared" si="7"/>
        <v>66.2</v>
      </c>
    </row>
    <row r="20" spans="1:18" hidden="1" x14ac:dyDescent="0.25">
      <c r="A20" s="29">
        <v>3758307</v>
      </c>
      <c r="B20" s="30" t="s">
        <v>66</v>
      </c>
      <c r="C20" s="30" t="s">
        <v>83</v>
      </c>
      <c r="D20" s="30" t="s">
        <v>94</v>
      </c>
      <c r="E20" s="31">
        <v>46206</v>
      </c>
      <c r="F20" s="30">
        <v>58</v>
      </c>
      <c r="G20" s="24" t="str">
        <f t="shared" si="0"/>
        <v>PASS</v>
      </c>
      <c r="H20" s="30">
        <v>74</v>
      </c>
      <c r="I20" s="24" t="str">
        <f t="shared" si="1"/>
        <v>PASS</v>
      </c>
      <c r="J20" s="30">
        <v>59.3</v>
      </c>
      <c r="K20" s="24" t="str">
        <f t="shared" si="2"/>
        <v>PASS</v>
      </c>
      <c r="L20" s="30">
        <v>74.099999999999994</v>
      </c>
      <c r="M20" s="24" t="str">
        <f t="shared" si="3"/>
        <v>PASS</v>
      </c>
      <c r="N20" s="30">
        <v>33</v>
      </c>
      <c r="O20" s="24" t="str">
        <f t="shared" si="4"/>
        <v>PASS</v>
      </c>
      <c r="P20" s="29">
        <f t="shared" si="5"/>
        <v>298.39999999999998</v>
      </c>
      <c r="Q20" s="24" t="str">
        <f t="shared" si="6"/>
        <v>PASS</v>
      </c>
      <c r="R20" s="32">
        <f t="shared" si="7"/>
        <v>66.311111111111103</v>
      </c>
    </row>
    <row r="21" spans="1:18" hidden="1" x14ac:dyDescent="0.25">
      <c r="A21" s="29">
        <v>3758307</v>
      </c>
      <c r="B21" s="30" t="s">
        <v>67</v>
      </c>
      <c r="C21" s="30" t="s">
        <v>84</v>
      </c>
      <c r="D21" s="30" t="s">
        <v>94</v>
      </c>
      <c r="E21" s="31">
        <v>46206</v>
      </c>
      <c r="F21" s="30">
        <v>64.599999999999994</v>
      </c>
      <c r="G21" s="24" t="str">
        <f t="shared" si="0"/>
        <v>PASS</v>
      </c>
      <c r="H21" s="30">
        <v>58.9</v>
      </c>
      <c r="I21" s="24" t="str">
        <f t="shared" si="1"/>
        <v>PASS</v>
      </c>
      <c r="J21" s="30">
        <v>66.400000000000006</v>
      </c>
      <c r="K21" s="24" t="str">
        <f t="shared" si="2"/>
        <v>PASS</v>
      </c>
      <c r="L21" s="30">
        <v>65.099999999999994</v>
      </c>
      <c r="M21" s="24" t="str">
        <f t="shared" si="3"/>
        <v>PASS</v>
      </c>
      <c r="N21" s="30">
        <v>34</v>
      </c>
      <c r="O21" s="24" t="str">
        <f t="shared" si="4"/>
        <v>PASS</v>
      </c>
      <c r="P21" s="29">
        <f t="shared" si="5"/>
        <v>289</v>
      </c>
      <c r="Q21" s="24" t="str">
        <f t="shared" si="6"/>
        <v>PASS</v>
      </c>
      <c r="R21" s="32">
        <f t="shared" si="7"/>
        <v>64.222222222222229</v>
      </c>
    </row>
    <row r="22" spans="1:18" x14ac:dyDescent="0.25">
      <c r="A22" s="29">
        <v>3758307</v>
      </c>
      <c r="B22" s="30" t="s">
        <v>68</v>
      </c>
      <c r="C22" s="30" t="s">
        <v>85</v>
      </c>
      <c r="D22" s="30" t="s">
        <v>95</v>
      </c>
      <c r="E22" s="31">
        <v>46206</v>
      </c>
      <c r="F22" s="30">
        <v>61.2</v>
      </c>
      <c r="G22" s="24" t="str">
        <f t="shared" si="0"/>
        <v>PASS</v>
      </c>
      <c r="H22" s="30">
        <v>61.3</v>
      </c>
      <c r="I22" s="24" t="str">
        <f t="shared" si="1"/>
        <v>PASS</v>
      </c>
      <c r="J22" s="30">
        <v>55.4</v>
      </c>
      <c r="K22" s="24" t="str">
        <f t="shared" si="2"/>
        <v>PASS</v>
      </c>
      <c r="L22" s="30">
        <v>72.900000000000006</v>
      </c>
      <c r="M22" s="24" t="str">
        <f t="shared" si="3"/>
        <v>PASS</v>
      </c>
      <c r="N22" s="30">
        <v>32</v>
      </c>
      <c r="O22" s="24" t="str">
        <f t="shared" si="4"/>
        <v>PASS</v>
      </c>
      <c r="P22" s="29">
        <f t="shared" si="5"/>
        <v>282.8</v>
      </c>
      <c r="Q22" s="24" t="str">
        <f t="shared" si="6"/>
        <v>PASS</v>
      </c>
      <c r="R22" s="32">
        <f t="shared" si="7"/>
        <v>62.844444444444449</v>
      </c>
    </row>
    <row r="23" spans="1:18" hidden="1" x14ac:dyDescent="0.25">
      <c r="A23" s="29">
        <v>3758307</v>
      </c>
      <c r="B23" s="30" t="s">
        <v>69</v>
      </c>
      <c r="C23" s="30" t="s">
        <v>86</v>
      </c>
      <c r="D23" s="30" t="s">
        <v>94</v>
      </c>
      <c r="E23" s="31">
        <v>46206</v>
      </c>
      <c r="F23" s="30">
        <v>59.2</v>
      </c>
      <c r="G23" s="24" t="str">
        <f t="shared" si="0"/>
        <v>PASS</v>
      </c>
      <c r="H23" s="30">
        <v>65.8</v>
      </c>
      <c r="I23" s="24" t="str">
        <f t="shared" si="1"/>
        <v>PASS</v>
      </c>
      <c r="J23" s="30">
        <v>56.4</v>
      </c>
      <c r="K23" s="24" t="str">
        <f t="shared" si="2"/>
        <v>PASS</v>
      </c>
      <c r="L23" s="30">
        <v>62.7</v>
      </c>
      <c r="M23" s="24" t="str">
        <f t="shared" si="3"/>
        <v>PASS</v>
      </c>
      <c r="N23" s="30">
        <v>34</v>
      </c>
      <c r="O23" s="24" t="str">
        <f t="shared" si="4"/>
        <v>PASS</v>
      </c>
      <c r="P23" s="29">
        <f t="shared" si="5"/>
        <v>278.10000000000002</v>
      </c>
      <c r="Q23" s="24" t="str">
        <f t="shared" si="6"/>
        <v>PASS</v>
      </c>
      <c r="R23" s="32">
        <f t="shared" si="7"/>
        <v>61.800000000000011</v>
      </c>
    </row>
    <row r="24" spans="1:18" x14ac:dyDescent="0.25">
      <c r="A24" s="29">
        <v>3758307</v>
      </c>
      <c r="B24" s="30" t="s">
        <v>70</v>
      </c>
      <c r="C24" s="30" t="s">
        <v>87</v>
      </c>
      <c r="D24" s="30" t="s">
        <v>95</v>
      </c>
      <c r="E24" s="31">
        <v>46206</v>
      </c>
      <c r="F24" s="30">
        <v>56.3</v>
      </c>
      <c r="G24" s="24" t="str">
        <f t="shared" si="0"/>
        <v>PASS</v>
      </c>
      <c r="H24" s="30">
        <v>60.9</v>
      </c>
      <c r="I24" s="24" t="str">
        <f t="shared" si="1"/>
        <v>PASS</v>
      </c>
      <c r="J24" s="30">
        <v>73.7</v>
      </c>
      <c r="K24" s="24" t="str">
        <f t="shared" si="2"/>
        <v>PASS</v>
      </c>
      <c r="L24" s="30">
        <v>71.900000000000006</v>
      </c>
      <c r="M24" s="24" t="str">
        <f t="shared" si="3"/>
        <v>PASS</v>
      </c>
      <c r="N24" s="30">
        <v>33</v>
      </c>
      <c r="O24" s="24" t="str">
        <f t="shared" si="4"/>
        <v>PASS</v>
      </c>
      <c r="P24" s="29">
        <f t="shared" si="5"/>
        <v>295.79999999999995</v>
      </c>
      <c r="Q24" s="24" t="str">
        <f t="shared" si="6"/>
        <v>PASS</v>
      </c>
      <c r="R24" s="32">
        <f t="shared" si="7"/>
        <v>65.73333333333332</v>
      </c>
    </row>
    <row r="25" spans="1:18" hidden="1" x14ac:dyDescent="0.25">
      <c r="A25" s="29">
        <v>3758307</v>
      </c>
      <c r="B25" s="30" t="s">
        <v>71</v>
      </c>
      <c r="C25" s="30" t="s">
        <v>88</v>
      </c>
      <c r="D25" s="30" t="s">
        <v>94</v>
      </c>
      <c r="E25" s="31">
        <v>46206</v>
      </c>
      <c r="F25" s="30">
        <v>61.2</v>
      </c>
      <c r="G25" s="24" t="str">
        <f t="shared" si="0"/>
        <v>PASS</v>
      </c>
      <c r="H25" s="30">
        <v>59.5</v>
      </c>
      <c r="I25" s="24" t="str">
        <f t="shared" si="1"/>
        <v>PASS</v>
      </c>
      <c r="J25" s="30">
        <v>71.2</v>
      </c>
      <c r="K25" s="24" t="str">
        <f t="shared" si="2"/>
        <v>PASS</v>
      </c>
      <c r="L25" s="30">
        <v>63.9</v>
      </c>
      <c r="M25" s="24" t="str">
        <f t="shared" si="3"/>
        <v>PASS</v>
      </c>
      <c r="N25" s="30">
        <v>34</v>
      </c>
      <c r="O25" s="24" t="str">
        <f t="shared" si="4"/>
        <v>PASS</v>
      </c>
      <c r="P25" s="29">
        <f t="shared" si="5"/>
        <v>289.8</v>
      </c>
      <c r="Q25" s="24" t="str">
        <f t="shared" si="6"/>
        <v>PASS</v>
      </c>
      <c r="R25" s="32">
        <f t="shared" si="7"/>
        <v>64.400000000000006</v>
      </c>
    </row>
    <row r="26" spans="1:18" hidden="1" x14ac:dyDescent="0.25">
      <c r="A26" s="29">
        <v>3758307</v>
      </c>
      <c r="B26" s="30" t="s">
        <v>72</v>
      </c>
      <c r="C26" s="30" t="s">
        <v>89</v>
      </c>
      <c r="D26" s="30" t="s">
        <v>94</v>
      </c>
      <c r="E26" s="31">
        <v>46206</v>
      </c>
      <c r="F26" s="30">
        <v>60.4</v>
      </c>
      <c r="G26" s="24" t="str">
        <f t="shared" si="0"/>
        <v>PASS</v>
      </c>
      <c r="H26" s="30">
        <v>64.7</v>
      </c>
      <c r="I26" s="24" t="str">
        <f t="shared" si="1"/>
        <v>PASS</v>
      </c>
      <c r="J26" s="30">
        <v>67</v>
      </c>
      <c r="K26" s="24" t="str">
        <f t="shared" si="2"/>
        <v>PASS</v>
      </c>
      <c r="L26" s="30">
        <v>70.3</v>
      </c>
      <c r="M26" s="24" t="str">
        <f t="shared" si="3"/>
        <v>PASS</v>
      </c>
      <c r="N26" s="30">
        <v>34</v>
      </c>
      <c r="O26" s="24" t="str">
        <f t="shared" si="4"/>
        <v>PASS</v>
      </c>
      <c r="P26" s="29">
        <f t="shared" si="5"/>
        <v>296.39999999999998</v>
      </c>
      <c r="Q26" s="24" t="str">
        <f t="shared" si="6"/>
        <v>PASS</v>
      </c>
      <c r="R26" s="32">
        <f t="shared" si="7"/>
        <v>65.86666666666666</v>
      </c>
    </row>
    <row r="27" spans="1:18" hidden="1" x14ac:dyDescent="0.25">
      <c r="A27" s="29">
        <v>3758307</v>
      </c>
      <c r="B27" s="30" t="s">
        <v>73</v>
      </c>
      <c r="C27" s="30" t="s">
        <v>90</v>
      </c>
      <c r="D27" s="30" t="s">
        <v>94</v>
      </c>
      <c r="E27" s="31">
        <v>46206</v>
      </c>
      <c r="F27" s="30">
        <v>74.2</v>
      </c>
      <c r="G27" s="24" t="str">
        <f t="shared" si="0"/>
        <v>PASS</v>
      </c>
      <c r="H27" s="30">
        <v>74.7</v>
      </c>
      <c r="I27" s="24" t="str">
        <f t="shared" si="1"/>
        <v>PASS</v>
      </c>
      <c r="J27" s="30">
        <v>40.5</v>
      </c>
      <c r="K27" s="24" t="str">
        <f t="shared" si="2"/>
        <v>FAIL</v>
      </c>
      <c r="L27" s="30">
        <v>64</v>
      </c>
      <c r="M27" s="24" t="str">
        <f t="shared" si="3"/>
        <v>PASS</v>
      </c>
      <c r="N27" s="30">
        <v>30</v>
      </c>
      <c r="O27" s="24" t="str">
        <f t="shared" si="4"/>
        <v>PASS</v>
      </c>
      <c r="P27" s="29">
        <f t="shared" si="5"/>
        <v>283.39999999999998</v>
      </c>
      <c r="Q27" s="24" t="str">
        <f t="shared" si="6"/>
        <v>PASS</v>
      </c>
      <c r="R27" s="32">
        <f t="shared" si="7"/>
        <v>62.977777777777774</v>
      </c>
    </row>
    <row r="28" spans="1:18" x14ac:dyDescent="0.25">
      <c r="A28" s="29">
        <v>3758307</v>
      </c>
      <c r="B28" s="30" t="s">
        <v>74</v>
      </c>
      <c r="C28" s="30" t="s">
        <v>91</v>
      </c>
      <c r="D28" s="30" t="s">
        <v>95</v>
      </c>
      <c r="E28" s="31">
        <v>46206</v>
      </c>
      <c r="F28" s="30">
        <v>57.5</v>
      </c>
      <c r="G28" s="24" t="str">
        <f t="shared" si="0"/>
        <v>PASS</v>
      </c>
      <c r="H28" s="30">
        <v>66.3</v>
      </c>
      <c r="I28" s="24" t="str">
        <f t="shared" si="1"/>
        <v>PASS</v>
      </c>
      <c r="J28" s="30">
        <v>50.7</v>
      </c>
      <c r="K28" s="24" t="str">
        <f t="shared" si="2"/>
        <v>PASS</v>
      </c>
      <c r="L28" s="30">
        <v>78.7</v>
      </c>
      <c r="M28" s="24" t="str">
        <f t="shared" si="3"/>
        <v>PASS</v>
      </c>
      <c r="N28" s="30">
        <v>32</v>
      </c>
      <c r="O28" s="24" t="str">
        <f t="shared" si="4"/>
        <v>PASS</v>
      </c>
      <c r="P28" s="29">
        <f t="shared" si="5"/>
        <v>285.2</v>
      </c>
      <c r="Q28" s="24" t="str">
        <f t="shared" si="6"/>
        <v>PASS</v>
      </c>
      <c r="R28" s="32">
        <f t="shared" si="7"/>
        <v>63.37777777777778</v>
      </c>
    </row>
    <row r="29" spans="1:18" x14ac:dyDescent="0.25">
      <c r="A29" s="29">
        <v>3758307</v>
      </c>
      <c r="B29" s="30" t="s">
        <v>75</v>
      </c>
      <c r="C29" s="30" t="s">
        <v>92</v>
      </c>
      <c r="D29" s="30" t="s">
        <v>95</v>
      </c>
      <c r="E29" s="31">
        <v>46206</v>
      </c>
      <c r="F29" s="30">
        <v>75.8</v>
      </c>
      <c r="G29" s="24" t="str">
        <f t="shared" si="0"/>
        <v>PASS</v>
      </c>
      <c r="H29" s="30">
        <v>77.400000000000006</v>
      </c>
      <c r="I29" s="24" t="str">
        <f t="shared" si="1"/>
        <v>PASS</v>
      </c>
      <c r="J29" s="30">
        <v>60.6</v>
      </c>
      <c r="K29" s="24" t="str">
        <f t="shared" si="2"/>
        <v>PASS</v>
      </c>
      <c r="L29" s="30">
        <v>60.4</v>
      </c>
      <c r="M29" s="24" t="str">
        <f t="shared" si="3"/>
        <v>PASS</v>
      </c>
      <c r="N29" s="30">
        <v>28</v>
      </c>
      <c r="O29" s="24" t="str">
        <f t="shared" si="4"/>
        <v>PASS</v>
      </c>
      <c r="P29" s="29">
        <f t="shared" si="5"/>
        <v>302.2</v>
      </c>
      <c r="Q29" s="24" t="str">
        <f t="shared" si="6"/>
        <v>PASS</v>
      </c>
      <c r="R29" s="32">
        <f t="shared" si="7"/>
        <v>67.155555555555551</v>
      </c>
    </row>
    <row r="30" spans="1:18" hidden="1" x14ac:dyDescent="0.25">
      <c r="A30" s="29">
        <v>3758307</v>
      </c>
      <c r="B30" s="30" t="s">
        <v>76</v>
      </c>
      <c r="C30" s="30" t="s">
        <v>93</v>
      </c>
      <c r="D30" s="30" t="s">
        <v>94</v>
      </c>
      <c r="E30" s="31">
        <v>46206</v>
      </c>
      <c r="F30" s="30">
        <v>63.1</v>
      </c>
      <c r="G30" s="24" t="str">
        <f t="shared" si="0"/>
        <v>PASS</v>
      </c>
      <c r="H30" s="30">
        <v>65.900000000000006</v>
      </c>
      <c r="I30" s="24" t="str">
        <f t="shared" si="1"/>
        <v>PASS</v>
      </c>
      <c r="J30" s="30">
        <v>58.4</v>
      </c>
      <c r="K30" s="24" t="str">
        <f t="shared" si="2"/>
        <v>PASS</v>
      </c>
      <c r="L30" s="30">
        <v>60.7</v>
      </c>
      <c r="M30" s="24" t="str">
        <f t="shared" si="3"/>
        <v>PASS</v>
      </c>
      <c r="N30" s="30">
        <v>34</v>
      </c>
      <c r="O30" s="24" t="str">
        <f t="shared" si="4"/>
        <v>PASS</v>
      </c>
      <c r="P30" s="29">
        <f t="shared" si="5"/>
        <v>282.10000000000002</v>
      </c>
      <c r="Q30" s="24" t="str">
        <f t="shared" si="6"/>
        <v>PASS</v>
      </c>
      <c r="R30" s="32">
        <f t="shared" si="7"/>
        <v>62.688888888888897</v>
      </c>
    </row>
  </sheetData>
  <autoFilter ref="A13:R30" xr:uid="{00000000-0001-0000-0000-000000000000}">
    <filterColumn colId="3">
      <filters>
        <filter val="M"/>
      </filters>
    </filterColumn>
  </autoFilter>
  <conditionalFormatting sqref="C14:C30">
    <cfRule type="duplicateValues" dxfId="1" priority="15"/>
  </conditionalFormatting>
  <conditionalFormatting sqref="E14:E30 P14:P30">
    <cfRule type="cellIs" dxfId="0" priority="4" operator="equal">
      <formula>"Fail"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showGridLines="0" tabSelected="1" workbookViewId="0">
      <selection activeCell="J12" sqref="J12"/>
    </sheetView>
  </sheetViews>
  <sheetFormatPr defaultRowHeight="15" x14ac:dyDescent="0.25"/>
  <cols>
    <col min="1" max="1" width="15.7109375" bestFit="1" customWidth="1"/>
    <col min="2" max="2" width="13" customWidth="1"/>
    <col min="4" max="5" width="10.85546875" customWidth="1"/>
    <col min="6" max="6" width="10.28515625" customWidth="1"/>
    <col min="7" max="7" width="10.42578125" customWidth="1"/>
  </cols>
  <sheetData>
    <row r="1" spans="1:7" x14ac:dyDescent="0.25">
      <c r="A1" s="56" t="s">
        <v>9</v>
      </c>
      <c r="B1" s="56"/>
      <c r="C1" s="56"/>
      <c r="D1" s="56"/>
      <c r="E1" s="56"/>
      <c r="F1" s="56"/>
      <c r="G1" s="56"/>
    </row>
    <row r="2" spans="1:7" x14ac:dyDescent="0.25">
      <c r="A2" s="49" t="s">
        <v>10</v>
      </c>
      <c r="B2" s="49"/>
      <c r="C2" s="49"/>
      <c r="D2" s="49"/>
      <c r="E2" s="49"/>
      <c r="F2" s="49"/>
      <c r="G2" s="49"/>
    </row>
    <row r="3" spans="1:7" x14ac:dyDescent="0.25">
      <c r="A3" s="2" t="s">
        <v>11</v>
      </c>
      <c r="B3" s="57">
        <f>score_sheet!B10</f>
        <v>3758307</v>
      </c>
      <c r="C3" s="58"/>
      <c r="D3" s="58"/>
      <c r="E3" s="58"/>
      <c r="F3" s="58"/>
      <c r="G3" s="59"/>
    </row>
    <row r="4" spans="1:7" ht="25.5" x14ac:dyDescent="0.25">
      <c r="A4" s="23" t="s">
        <v>12</v>
      </c>
      <c r="B4" s="60" t="str">
        <f>score_sheet!B6</f>
        <v>BSDM</v>
      </c>
      <c r="C4" s="61"/>
      <c r="D4" s="3" t="s">
        <v>13</v>
      </c>
      <c r="E4" s="62">
        <v>0.5</v>
      </c>
      <c r="F4" s="63"/>
      <c r="G4" s="61"/>
    </row>
    <row r="5" spans="1:7" x14ac:dyDescent="0.25">
      <c r="A5" s="4" t="s">
        <v>7</v>
      </c>
      <c r="B5" s="43">
        <f>score_sheet!E14</f>
        <v>46206</v>
      </c>
      <c r="C5" s="44"/>
      <c r="D5" s="44"/>
      <c r="E5" s="44"/>
      <c r="F5" s="44"/>
      <c r="G5" s="45"/>
    </row>
    <row r="6" spans="1:7" x14ac:dyDescent="0.25">
      <c r="A6" s="5" t="s">
        <v>14</v>
      </c>
      <c r="B6" s="6" t="str">
        <f>score_sheet!B3</f>
        <v>Digital Mitra</v>
      </c>
      <c r="C6" s="20"/>
      <c r="D6" s="21"/>
      <c r="E6" s="21"/>
      <c r="F6" s="21"/>
      <c r="G6" s="22"/>
    </row>
    <row r="7" spans="1:7" ht="14.45" customHeight="1" x14ac:dyDescent="0.25">
      <c r="A7" s="46" t="s">
        <v>15</v>
      </c>
      <c r="C7" s="5" t="s">
        <v>16</v>
      </c>
      <c r="D7" s="50" t="s">
        <v>25</v>
      </c>
      <c r="E7" s="51"/>
      <c r="F7" s="10" t="s">
        <v>26</v>
      </c>
      <c r="G7" s="10" t="s">
        <v>27</v>
      </c>
    </row>
    <row r="8" spans="1:7" x14ac:dyDescent="0.25">
      <c r="A8" s="47"/>
      <c r="B8" s="7" t="s">
        <v>17</v>
      </c>
      <c r="C8" s="8">
        <f>COUNT(score_sheet!R14:R30)</f>
        <v>17</v>
      </c>
      <c r="D8" s="52"/>
      <c r="E8" s="53"/>
      <c r="F8" s="15">
        <f>COUNTIF(score_sheet!D14:D30,"M")</f>
        <v>8</v>
      </c>
      <c r="G8" s="15">
        <f>COUNTIF(score_sheet!D14:D30,"F")</f>
        <v>9</v>
      </c>
    </row>
    <row r="9" spans="1:7" x14ac:dyDescent="0.25">
      <c r="A9" s="47"/>
      <c r="B9" s="7" t="s">
        <v>18</v>
      </c>
      <c r="C9" s="8">
        <f>COUNTIF(score_sheet!Q14:Q30,"PASS")+COUNTIF(score_sheet!Q14:Q30,"FAIL")</f>
        <v>17</v>
      </c>
      <c r="D9" s="52"/>
      <c r="E9" s="53"/>
      <c r="F9" s="15">
        <f>COUNTIFS(score_sheet!$D$14:$D$30,"M",score_sheet!$Q$14:$Q$30,"PASS")+COUNTIFS(score_sheet!$D$14:$D$30,"M",score_sheet!$Q$14:$Q$30,"FAIL")</f>
        <v>8</v>
      </c>
      <c r="G9" s="15">
        <f>COUNTIFS(score_sheet!$D$14:$D$30,"F",score_sheet!$Q$14:$Q$30,"PASS")+COUNTIFS(score_sheet!$D$14:$D$30,"F",score_sheet!$Q$14:$Q$30,"FAIL")</f>
        <v>9</v>
      </c>
    </row>
    <row r="10" spans="1:7" x14ac:dyDescent="0.25">
      <c r="A10" s="48"/>
      <c r="B10" s="7" t="s">
        <v>19</v>
      </c>
      <c r="C10" s="8">
        <f>COUNTIF(score_sheet!Q14:Q30,"PASS")</f>
        <v>16</v>
      </c>
      <c r="D10" s="54"/>
      <c r="E10" s="55"/>
      <c r="F10" s="15">
        <f>COUNTIFS(score_sheet!$D$14:$D$30,"M",score_sheet!$Q$14:$Q$30,"PASS")</f>
        <v>8</v>
      </c>
      <c r="G10" s="15">
        <f>COUNTIFS(score_sheet!$D$14:$D$30,"F",score_sheet!$Q$14:$Q$30,"PASS")</f>
        <v>8</v>
      </c>
    </row>
    <row r="11" spans="1:7" x14ac:dyDescent="0.25">
      <c r="A11" s="49" t="s">
        <v>20</v>
      </c>
      <c r="B11" s="49"/>
      <c r="C11" s="49"/>
      <c r="D11" s="49"/>
      <c r="E11" s="49"/>
      <c r="F11" s="49"/>
      <c r="G11" s="49"/>
    </row>
    <row r="12" spans="1:7" ht="38.25" x14ac:dyDescent="0.25">
      <c r="A12" s="9"/>
      <c r="B12" s="10" t="s">
        <v>21</v>
      </c>
      <c r="C12" s="10" t="s">
        <v>31</v>
      </c>
      <c r="D12" s="10" t="s">
        <v>38</v>
      </c>
      <c r="E12" s="10" t="s">
        <v>32</v>
      </c>
      <c r="F12" s="10" t="s">
        <v>39</v>
      </c>
      <c r="G12" s="10" t="s">
        <v>33</v>
      </c>
    </row>
    <row r="13" spans="1:7" x14ac:dyDescent="0.25">
      <c r="A13" s="1" t="s">
        <v>50</v>
      </c>
      <c r="B13" s="11">
        <f>$C$10/$C$9*100</f>
        <v>94.117647058823522</v>
      </c>
      <c r="C13" s="16">
        <f>AVERAGE(score_sheet!F$14:F$30)</f>
        <v>61.841176470588231</v>
      </c>
      <c r="D13" s="16">
        <f>MIN(score_sheet!F$14:F$30)</f>
        <v>50</v>
      </c>
      <c r="E13" s="17">
        <f>MAX(score_sheet!F$14:F$30)</f>
        <v>75.8</v>
      </c>
      <c r="F13" s="18">
        <f>MEDIAN(score_sheet!F$14:F$30)</f>
        <v>61.2</v>
      </c>
      <c r="G13" s="17">
        <f>STDEVP(score_sheet!F$14:F$30)</f>
        <v>6.3262347154323111</v>
      </c>
    </row>
    <row r="14" spans="1:7" x14ac:dyDescent="0.25">
      <c r="A14" s="1" t="s">
        <v>51</v>
      </c>
      <c r="B14" s="11">
        <f t="shared" ref="B14:B17" si="0">$C$10/$C$9*100</f>
        <v>94.117647058823522</v>
      </c>
      <c r="C14" s="16">
        <f>AVERAGE(score_sheet!H$14:H$30)</f>
        <v>63.094117647058816</v>
      </c>
      <c r="D14" s="16">
        <f>MIN(score_sheet!H$14:H$30)</f>
        <v>38.700000000000003</v>
      </c>
      <c r="E14" s="17">
        <f>MAX(score_sheet!H$14:H$30)</f>
        <v>77.400000000000006</v>
      </c>
      <c r="F14" s="18">
        <f>MEDIAN(score_sheet!H$14:H$30)</f>
        <v>63.7</v>
      </c>
      <c r="G14" s="17">
        <f>STDEVP(score_sheet!H$14:H$30)</f>
        <v>8.6618480970719034</v>
      </c>
    </row>
    <row r="15" spans="1:7" x14ac:dyDescent="0.25">
      <c r="A15" s="1" t="s">
        <v>52</v>
      </c>
      <c r="B15" s="11">
        <f t="shared" si="0"/>
        <v>94.117647058823522</v>
      </c>
      <c r="C15" s="16">
        <f>AVERAGE(score_sheet!J$14:J$30)</f>
        <v>59.59411764705883</v>
      </c>
      <c r="D15" s="16">
        <f>MIN(score_sheet!J$14:J$30)</f>
        <v>33.200000000000003</v>
      </c>
      <c r="E15" s="17">
        <f>MAX(score_sheet!J$14:J$30)</f>
        <v>73.7</v>
      </c>
      <c r="F15" s="18">
        <f>MEDIAN(score_sheet!J$14:J$30)</f>
        <v>60.6</v>
      </c>
      <c r="G15" s="17">
        <f>STDEVP(score_sheet!J$14:J$30)</f>
        <v>10.236869385202079</v>
      </c>
    </row>
    <row r="16" spans="1:7" x14ac:dyDescent="0.25">
      <c r="A16" s="1" t="s">
        <v>53</v>
      </c>
      <c r="B16" s="11">
        <f t="shared" si="0"/>
        <v>94.117647058823522</v>
      </c>
      <c r="C16" s="16">
        <f>AVERAGE(score_sheet!L$14:L$30)</f>
        <v>64.329411764705895</v>
      </c>
      <c r="D16" s="16">
        <f>MIN(score_sheet!L$14:L$30)</f>
        <v>13</v>
      </c>
      <c r="E16" s="17">
        <f>MAX(score_sheet!L$14:L$30)</f>
        <v>78.7</v>
      </c>
      <c r="F16" s="18">
        <f>MEDIAN(score_sheet!L$14:L$30)</f>
        <v>65.8</v>
      </c>
      <c r="G16" s="17">
        <f>STDEVP(score_sheet!L$14:L$30)</f>
        <v>13.986916773558381</v>
      </c>
    </row>
    <row r="17" spans="1:7" x14ac:dyDescent="0.25">
      <c r="A17" s="1" t="s">
        <v>54</v>
      </c>
      <c r="B17" s="11">
        <f t="shared" si="0"/>
        <v>94.117647058823522</v>
      </c>
      <c r="C17" s="16">
        <f>AVERAGE(score_sheet!N$14:N$30)</f>
        <v>32.058823529411768</v>
      </c>
      <c r="D17" s="16">
        <f>MIN(score_sheet!N$14:N$30)</f>
        <v>21</v>
      </c>
      <c r="E17" s="17">
        <f>MAX(score_sheet!N$14:N$30)</f>
        <v>34</v>
      </c>
      <c r="F17" s="18">
        <f>MEDIAN(score_sheet!N$14:N$30)</f>
        <v>33</v>
      </c>
      <c r="G17" s="17">
        <f>STDEVP(score_sheet!N$14:N$30)</f>
        <v>3.1895156968766956</v>
      </c>
    </row>
    <row r="18" spans="1:7" x14ac:dyDescent="0.25">
      <c r="A18" s="49" t="s">
        <v>22</v>
      </c>
      <c r="B18" s="49"/>
      <c r="C18" s="49"/>
      <c r="D18" s="49"/>
      <c r="E18" s="49"/>
      <c r="F18" s="49"/>
      <c r="G18" s="49"/>
    </row>
    <row r="19" spans="1:7" x14ac:dyDescent="0.25">
      <c r="A19" s="12"/>
      <c r="B19" s="13">
        <v>1</v>
      </c>
      <c r="C19" s="13">
        <v>2</v>
      </c>
      <c r="D19" s="13">
        <v>3</v>
      </c>
      <c r="E19" s="13">
        <v>4</v>
      </c>
      <c r="F19" s="13">
        <v>5</v>
      </c>
      <c r="G19" s="13">
        <v>6</v>
      </c>
    </row>
    <row r="20" spans="1:7" x14ac:dyDescent="0.25">
      <c r="A20" s="37" t="s">
        <v>50</v>
      </c>
      <c r="B20" s="34" t="s">
        <v>96</v>
      </c>
      <c r="C20" s="34" t="s">
        <v>97</v>
      </c>
      <c r="D20" s="34" t="s">
        <v>98</v>
      </c>
      <c r="E20" s="34" t="s">
        <v>99</v>
      </c>
      <c r="F20" s="34" t="s">
        <v>100</v>
      </c>
      <c r="G20" s="34" t="s">
        <v>101</v>
      </c>
    </row>
    <row r="21" spans="1:7" x14ac:dyDescent="0.25">
      <c r="A21" s="38"/>
      <c r="B21" s="34" t="s">
        <v>102</v>
      </c>
      <c r="C21" s="34" t="s">
        <v>103</v>
      </c>
      <c r="D21" s="35"/>
      <c r="E21" s="35"/>
      <c r="F21" s="35"/>
      <c r="G21" s="35"/>
    </row>
    <row r="22" spans="1:7" x14ac:dyDescent="0.25">
      <c r="A22" s="39"/>
      <c r="B22" s="36"/>
      <c r="C22" s="36"/>
      <c r="D22" s="36"/>
      <c r="E22" s="36"/>
      <c r="F22" s="36"/>
      <c r="G22" s="36"/>
    </row>
    <row r="23" spans="1:7" x14ac:dyDescent="0.25">
      <c r="A23" s="37" t="s">
        <v>51</v>
      </c>
      <c r="B23" s="34" t="s">
        <v>104</v>
      </c>
      <c r="C23" s="34" t="s">
        <v>105</v>
      </c>
      <c r="D23" s="34" t="s">
        <v>106</v>
      </c>
      <c r="E23" s="34" t="s">
        <v>107</v>
      </c>
      <c r="F23" s="34" t="s">
        <v>108</v>
      </c>
      <c r="G23" s="34" t="s">
        <v>101</v>
      </c>
    </row>
    <row r="24" spans="1:7" x14ac:dyDescent="0.25">
      <c r="A24" s="38"/>
      <c r="B24" s="34" t="s">
        <v>109</v>
      </c>
      <c r="C24" s="34" t="s">
        <v>110</v>
      </c>
      <c r="D24" s="35"/>
      <c r="E24" s="35"/>
      <c r="F24" s="35"/>
      <c r="G24" s="35"/>
    </row>
    <row r="25" spans="1:7" x14ac:dyDescent="0.25">
      <c r="A25" s="39"/>
      <c r="B25" s="36"/>
      <c r="C25" s="36"/>
      <c r="D25" s="36"/>
      <c r="E25" s="36"/>
      <c r="F25" s="36"/>
      <c r="G25" s="36"/>
    </row>
    <row r="26" spans="1:7" x14ac:dyDescent="0.25">
      <c r="A26" s="37" t="s">
        <v>52</v>
      </c>
      <c r="B26" s="34" t="s">
        <v>111</v>
      </c>
      <c r="C26" s="34" t="s">
        <v>112</v>
      </c>
      <c r="D26" s="34" t="s">
        <v>110</v>
      </c>
      <c r="E26" s="34" t="s">
        <v>113</v>
      </c>
      <c r="F26" s="34" t="s">
        <v>102</v>
      </c>
      <c r="G26" s="34" t="s">
        <v>101</v>
      </c>
    </row>
    <row r="27" spans="1:7" x14ac:dyDescent="0.25">
      <c r="A27" s="38"/>
      <c r="B27" s="34" t="s">
        <v>114</v>
      </c>
      <c r="C27" s="34" t="s">
        <v>109</v>
      </c>
      <c r="D27" s="34" t="s">
        <v>97</v>
      </c>
      <c r="E27" s="34" t="s">
        <v>103</v>
      </c>
      <c r="F27" s="35"/>
      <c r="G27" s="35"/>
    </row>
    <row r="28" spans="1:7" x14ac:dyDescent="0.25">
      <c r="A28" s="39"/>
      <c r="B28" s="36"/>
      <c r="C28" s="36"/>
      <c r="D28" s="36"/>
      <c r="E28" s="36"/>
      <c r="F28" s="36"/>
      <c r="G28" s="36"/>
    </row>
    <row r="29" spans="1:7" x14ac:dyDescent="0.25">
      <c r="A29" s="37" t="s">
        <v>53</v>
      </c>
      <c r="B29" s="34" t="s">
        <v>104</v>
      </c>
      <c r="C29" s="34" t="s">
        <v>115</v>
      </c>
      <c r="D29" s="34" t="s">
        <v>96</v>
      </c>
      <c r="E29" s="34" t="s">
        <v>109</v>
      </c>
      <c r="F29" s="34" t="s">
        <v>106</v>
      </c>
      <c r="G29" s="34" t="s">
        <v>110</v>
      </c>
    </row>
    <row r="30" spans="1:7" x14ac:dyDescent="0.25">
      <c r="A30" s="38"/>
      <c r="B30" s="34" t="s">
        <v>105</v>
      </c>
      <c r="C30" s="34" t="s">
        <v>112</v>
      </c>
      <c r="D30" s="34" t="s">
        <v>107</v>
      </c>
      <c r="E30" s="35"/>
      <c r="F30" s="35"/>
      <c r="G30" s="35"/>
    </row>
    <row r="31" spans="1:7" x14ac:dyDescent="0.25">
      <c r="A31" s="39"/>
      <c r="B31" s="36"/>
      <c r="C31" s="36"/>
      <c r="D31" s="36"/>
      <c r="E31" s="36"/>
      <c r="F31" s="36"/>
      <c r="G31" s="36"/>
    </row>
    <row r="32" spans="1:7" x14ac:dyDescent="0.25">
      <c r="A32" s="37" t="s">
        <v>54</v>
      </c>
      <c r="B32" s="34" t="s">
        <v>104</v>
      </c>
      <c r="C32" s="34" t="s">
        <v>96</v>
      </c>
      <c r="D32" s="34" t="s">
        <v>107</v>
      </c>
      <c r="E32" s="34" t="s">
        <v>111</v>
      </c>
      <c r="F32" s="34" t="s">
        <v>115</v>
      </c>
      <c r="G32" s="36"/>
    </row>
    <row r="33" spans="1:7" x14ac:dyDescent="0.25">
      <c r="A33" s="38"/>
      <c r="B33" s="19"/>
      <c r="C33" s="19"/>
      <c r="D33" s="19"/>
      <c r="E33" s="19"/>
      <c r="F33" s="19"/>
      <c r="G33" s="19"/>
    </row>
    <row r="34" spans="1:7" x14ac:dyDescent="0.25">
      <c r="A34" s="39"/>
      <c r="B34" s="19"/>
      <c r="C34" s="19"/>
      <c r="D34" s="19"/>
      <c r="E34" s="19"/>
      <c r="F34" s="19"/>
      <c r="G34" s="19"/>
    </row>
    <row r="35" spans="1:7" x14ac:dyDescent="0.25">
      <c r="A35" s="40" t="s">
        <v>37</v>
      </c>
      <c r="B35" s="41"/>
      <c r="C35" s="41"/>
      <c r="D35" s="41"/>
      <c r="E35" s="41"/>
      <c r="F35" s="41"/>
      <c r="G35" s="42"/>
    </row>
    <row r="36" spans="1:7" x14ac:dyDescent="0.25">
      <c r="A36" s="37" t="s">
        <v>50</v>
      </c>
      <c r="B36" s="33" t="s">
        <v>106</v>
      </c>
      <c r="C36" s="33" t="s">
        <v>109</v>
      </c>
      <c r="D36" s="19"/>
      <c r="E36" s="19"/>
      <c r="F36" s="19"/>
      <c r="G36" s="19"/>
    </row>
    <row r="37" spans="1:7" x14ac:dyDescent="0.25">
      <c r="A37" s="38"/>
      <c r="B37" s="19"/>
      <c r="C37" s="19"/>
      <c r="D37" s="19"/>
      <c r="E37" s="19"/>
      <c r="F37" s="19"/>
      <c r="G37" s="19"/>
    </row>
    <row r="38" spans="1:7" x14ac:dyDescent="0.25">
      <c r="A38" s="39"/>
      <c r="B38" s="19"/>
      <c r="C38" s="19"/>
      <c r="D38" s="19"/>
      <c r="E38" s="19"/>
      <c r="F38" s="19"/>
      <c r="G38" s="19"/>
    </row>
    <row r="39" spans="1:7" x14ac:dyDescent="0.25">
      <c r="A39" s="37" t="s">
        <v>51</v>
      </c>
      <c r="B39" s="33" t="s">
        <v>111</v>
      </c>
      <c r="C39" s="33" t="s">
        <v>117</v>
      </c>
      <c r="D39" s="19"/>
      <c r="E39" s="19"/>
      <c r="F39" s="19"/>
      <c r="G39" s="19"/>
    </row>
    <row r="40" spans="1:7" x14ac:dyDescent="0.25">
      <c r="A40" s="38"/>
      <c r="B40" s="19"/>
      <c r="C40" s="19"/>
      <c r="D40" s="19"/>
      <c r="E40" s="19"/>
      <c r="F40" s="19"/>
      <c r="G40" s="19"/>
    </row>
    <row r="41" spans="1:7" x14ac:dyDescent="0.25">
      <c r="A41" s="39"/>
      <c r="B41" s="19"/>
      <c r="C41" s="19"/>
      <c r="D41" s="19"/>
      <c r="E41" s="19"/>
      <c r="F41" s="19"/>
      <c r="G41" s="19"/>
    </row>
    <row r="42" spans="1:7" x14ac:dyDescent="0.25">
      <c r="A42" s="37" t="s">
        <v>52</v>
      </c>
      <c r="B42" s="33" t="s">
        <v>116</v>
      </c>
      <c r="C42" s="33" t="s">
        <v>117</v>
      </c>
      <c r="D42" s="19"/>
      <c r="E42" s="19"/>
      <c r="F42" s="19"/>
      <c r="G42" s="19"/>
    </row>
    <row r="43" spans="1:7" x14ac:dyDescent="0.25">
      <c r="A43" s="38"/>
      <c r="B43" s="19"/>
      <c r="C43" s="19"/>
      <c r="D43" s="19"/>
      <c r="E43" s="19"/>
      <c r="F43" s="19"/>
      <c r="G43" s="19"/>
    </row>
    <row r="44" spans="1:7" x14ac:dyDescent="0.25">
      <c r="A44" s="39"/>
      <c r="B44" s="19"/>
      <c r="C44" s="19"/>
      <c r="D44" s="19"/>
      <c r="E44" s="19"/>
      <c r="F44" s="19"/>
      <c r="G44" s="19"/>
    </row>
    <row r="45" spans="1:7" x14ac:dyDescent="0.25">
      <c r="A45" s="37" t="s">
        <v>53</v>
      </c>
      <c r="B45" s="19"/>
      <c r="C45" s="19"/>
      <c r="D45" s="19"/>
      <c r="E45" s="19"/>
      <c r="F45" s="19"/>
      <c r="G45" s="19"/>
    </row>
    <row r="46" spans="1:7" x14ac:dyDescent="0.25">
      <c r="A46" s="38"/>
      <c r="B46" s="19"/>
      <c r="C46" s="19"/>
      <c r="D46" s="19"/>
      <c r="E46" s="19"/>
      <c r="F46" s="19"/>
      <c r="G46" s="19"/>
    </row>
    <row r="47" spans="1:7" x14ac:dyDescent="0.25">
      <c r="A47" s="39"/>
      <c r="B47" s="19"/>
      <c r="C47" s="19"/>
      <c r="D47" s="19"/>
      <c r="E47" s="19"/>
      <c r="F47" s="19"/>
      <c r="G47" s="19"/>
    </row>
    <row r="48" spans="1:7" x14ac:dyDescent="0.25">
      <c r="A48" s="37" t="s">
        <v>54</v>
      </c>
      <c r="B48" s="19" t="s">
        <v>118</v>
      </c>
      <c r="C48" s="19" t="s">
        <v>106</v>
      </c>
      <c r="D48" s="19" t="s">
        <v>110</v>
      </c>
      <c r="E48" s="19"/>
      <c r="F48" s="19"/>
      <c r="G48" s="19"/>
    </row>
    <row r="49" spans="1:7" x14ac:dyDescent="0.25">
      <c r="A49" s="38"/>
      <c r="B49" s="19"/>
      <c r="C49" s="19"/>
      <c r="D49" s="19"/>
      <c r="E49" s="19"/>
      <c r="F49" s="19"/>
      <c r="G49" s="19"/>
    </row>
    <row r="50" spans="1:7" x14ac:dyDescent="0.25">
      <c r="A50" s="39"/>
      <c r="B50" s="19"/>
      <c r="C50" s="19"/>
      <c r="D50" s="19"/>
      <c r="E50" s="19"/>
      <c r="F50" s="19"/>
      <c r="G50" s="19"/>
    </row>
    <row r="51" spans="1:7" x14ac:dyDescent="0.25">
      <c r="A51" s="40" t="s">
        <v>23</v>
      </c>
      <c r="B51" s="41"/>
      <c r="C51" s="41"/>
      <c r="D51" s="41"/>
      <c r="E51" s="41"/>
      <c r="F51" s="41"/>
      <c r="G51" s="42"/>
    </row>
    <row r="52" spans="1:7" x14ac:dyDescent="0.25">
      <c r="A52" s="37" t="s">
        <v>50</v>
      </c>
      <c r="B52" s="33" t="s">
        <v>117</v>
      </c>
      <c r="C52" s="19"/>
      <c r="D52" s="19"/>
      <c r="E52" s="19"/>
      <c r="F52" s="19"/>
      <c r="G52" s="19"/>
    </row>
    <row r="53" spans="1:7" x14ac:dyDescent="0.25">
      <c r="A53" s="38"/>
      <c r="B53" s="19"/>
      <c r="C53" s="19"/>
      <c r="D53" s="19"/>
      <c r="E53" s="19"/>
      <c r="F53" s="19"/>
      <c r="G53" s="19"/>
    </row>
    <row r="54" spans="1:7" x14ac:dyDescent="0.25">
      <c r="A54" s="39"/>
      <c r="B54" s="19"/>
      <c r="C54" s="19"/>
      <c r="D54" s="19"/>
      <c r="E54" s="19"/>
      <c r="F54" s="19"/>
      <c r="G54" s="19"/>
    </row>
    <row r="55" spans="1:7" x14ac:dyDescent="0.25">
      <c r="A55" s="37" t="s">
        <v>51</v>
      </c>
      <c r="B55" s="19"/>
      <c r="C55" s="19"/>
      <c r="D55" s="19"/>
      <c r="E55" s="19"/>
      <c r="F55" s="19"/>
      <c r="G55" s="19"/>
    </row>
    <row r="56" spans="1:7" x14ac:dyDescent="0.25">
      <c r="A56" s="38"/>
      <c r="B56" s="19"/>
      <c r="C56" s="19"/>
      <c r="D56" s="19"/>
      <c r="E56" s="19"/>
      <c r="F56" s="19"/>
      <c r="G56" s="19"/>
    </row>
    <row r="57" spans="1:7" x14ac:dyDescent="0.25">
      <c r="A57" s="39"/>
      <c r="B57" s="19"/>
      <c r="C57" s="19"/>
      <c r="D57" s="19"/>
      <c r="E57" s="19"/>
      <c r="F57" s="19"/>
      <c r="G57" s="19"/>
    </row>
    <row r="58" spans="1:7" x14ac:dyDescent="0.25">
      <c r="A58" s="37" t="s">
        <v>52</v>
      </c>
      <c r="B58" s="19"/>
      <c r="C58" s="19"/>
      <c r="D58" s="19"/>
      <c r="E58" s="19"/>
      <c r="F58" s="19"/>
      <c r="G58" s="19"/>
    </row>
    <row r="59" spans="1:7" x14ac:dyDescent="0.25">
      <c r="A59" s="38"/>
      <c r="B59" s="19"/>
      <c r="C59" s="19"/>
      <c r="D59" s="19"/>
      <c r="E59" s="19"/>
      <c r="F59" s="19"/>
      <c r="G59" s="19"/>
    </row>
    <row r="60" spans="1:7" x14ac:dyDescent="0.25">
      <c r="A60" s="39"/>
      <c r="B60" s="19"/>
      <c r="C60" s="19"/>
      <c r="D60" s="19"/>
      <c r="E60" s="19"/>
      <c r="F60" s="19"/>
      <c r="G60" s="19"/>
    </row>
    <row r="61" spans="1:7" ht="15" customHeight="1" x14ac:dyDescent="0.25">
      <c r="A61" s="37" t="s">
        <v>53</v>
      </c>
      <c r="B61" s="33" t="s">
        <v>117</v>
      </c>
      <c r="C61" s="19"/>
      <c r="D61" s="19"/>
      <c r="E61" s="19"/>
      <c r="F61" s="19"/>
      <c r="G61" s="19"/>
    </row>
    <row r="62" spans="1:7" x14ac:dyDescent="0.25">
      <c r="A62" s="38"/>
      <c r="B62" s="19"/>
      <c r="C62" s="19"/>
      <c r="D62" s="19"/>
      <c r="E62" s="19"/>
      <c r="F62" s="19"/>
      <c r="G62" s="19"/>
    </row>
    <row r="63" spans="1:7" x14ac:dyDescent="0.25">
      <c r="A63" s="39"/>
      <c r="B63" s="19"/>
      <c r="C63" s="19"/>
      <c r="D63" s="19"/>
      <c r="E63" s="19"/>
      <c r="F63" s="19"/>
      <c r="G63" s="19"/>
    </row>
    <row r="64" spans="1:7" x14ac:dyDescent="0.25">
      <c r="A64" s="37" t="s">
        <v>54</v>
      </c>
      <c r="B64" s="19" t="s">
        <v>117</v>
      </c>
      <c r="C64" s="19" t="s">
        <v>105</v>
      </c>
      <c r="D64" s="19" t="s">
        <v>109</v>
      </c>
      <c r="E64" s="19" t="s">
        <v>112</v>
      </c>
      <c r="F64" s="19"/>
      <c r="G64" s="19"/>
    </row>
    <row r="65" spans="1:7" x14ac:dyDescent="0.25">
      <c r="A65" s="38"/>
      <c r="B65" s="19"/>
      <c r="C65" s="19"/>
      <c r="D65" s="19"/>
      <c r="E65" s="19"/>
      <c r="F65" s="19"/>
      <c r="G65" s="19"/>
    </row>
    <row r="66" spans="1:7" x14ac:dyDescent="0.25">
      <c r="A66" s="39"/>
      <c r="B66" s="19"/>
      <c r="C66" s="19"/>
      <c r="D66" s="19"/>
      <c r="E66" s="19"/>
      <c r="F66" s="19"/>
      <c r="G66" s="19"/>
    </row>
  </sheetData>
  <mergeCells count="27">
    <mergeCell ref="A1:G1"/>
    <mergeCell ref="A2:G2"/>
    <mergeCell ref="B3:G3"/>
    <mergeCell ref="B4:C4"/>
    <mergeCell ref="E4:G4"/>
    <mergeCell ref="B5:G5"/>
    <mergeCell ref="A7:A10"/>
    <mergeCell ref="A11:G11"/>
    <mergeCell ref="A18:G18"/>
    <mergeCell ref="A20:A22"/>
    <mergeCell ref="D7:E10"/>
    <mergeCell ref="A64:A66"/>
    <mergeCell ref="A51:G51"/>
    <mergeCell ref="A52:A54"/>
    <mergeCell ref="A61:A63"/>
    <mergeCell ref="A58:A60"/>
    <mergeCell ref="A23:A25"/>
    <mergeCell ref="A26:A28"/>
    <mergeCell ref="A39:A41"/>
    <mergeCell ref="A42:A44"/>
    <mergeCell ref="A55:A57"/>
    <mergeCell ref="A29:A31"/>
    <mergeCell ref="A32:A34"/>
    <mergeCell ref="A36:A38"/>
    <mergeCell ref="A45:A47"/>
    <mergeCell ref="A48:A50"/>
    <mergeCell ref="A35:G35"/>
  </mergeCells>
  <phoneticPr fontId="2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"/>
  <sheetViews>
    <sheetView showGridLines="0" workbookViewId="0">
      <selection activeCell="N18" sqref="N18"/>
    </sheetView>
  </sheetViews>
  <sheetFormatPr defaultRowHeight="15" x14ac:dyDescent="0.25"/>
  <sheetData>
    <row r="1" spans="1:2" x14ac:dyDescent="0.25">
      <c r="A1" s="14" t="s">
        <v>11</v>
      </c>
      <c r="B1" s="14">
        <f>score_sheet!B10</f>
        <v>3758307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score_sheet</vt:lpstr>
      <vt:lpstr>Batch Analysis - Tabular</vt:lpstr>
      <vt:lpstr>Batch Analysis - 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Ranu Chauhan (On Contract)</cp:lastModifiedBy>
  <dcterms:created xsi:type="dcterms:W3CDTF">2015-05-01T13:34:33Z</dcterms:created>
  <dcterms:modified xsi:type="dcterms:W3CDTF">2026-08-19T05:30:54Z</dcterms:modified>
</cp:coreProperties>
</file>