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<sst xmlns="http://schemas.openxmlformats.org/spreadsheetml/2006/main" count="129" uniqueCount="101">
  <si>
    <t xml:space="preserve">Assessment Agency Name</t>
  </si>
  <si>
    <t xml:space="preserve">Ginger Webs Pvt. Ltd.</t>
  </si>
  <si>
    <t xml:space="preserve">Training Provider Name</t>
  </si>
  <si>
    <t xml:space="preserve">The National Small Industries Corporation Limited</t>
  </si>
  <si>
    <t xml:space="preserve">Qualification Pack Name/Job Role</t>
  </si>
  <si>
    <t xml:space="preserve">IT Helpdesk Attendant</t>
  </si>
  <si>
    <t xml:space="preserve">Qualification Code</t>
  </si>
  <si>
    <t xml:space="preserve">SSC/Q0110</t>
  </si>
  <si>
    <t xml:space="preserve">Assessor Name/AR ID</t>
  </si>
  <si>
    <t xml:space="preserve">AR37662 &amp; Bablu Kumar Singh</t>
  </si>
  <si>
    <t xml:space="preserve">Scheme Name</t>
  </si>
  <si>
    <t xml:space="preserve">PMKVY-4.0-CSCM STT</t>
  </si>
  <si>
    <t xml:space="preserve">State</t>
  </si>
  <si>
    <t xml:space="preserve">Delhi</t>
  </si>
  <si>
    <t xml:space="preserve">City</t>
  </si>
  <si>
    <t xml:space="preserve">SOUTH EAST</t>
  </si>
  <si>
    <t xml:space="preserve">Center ID</t>
  </si>
  <si>
    <t xml:space="preserve">NA</t>
  </si>
  <si>
    <t xml:space="preserve">Batch ID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</si>
  <si>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</si>
  <si>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</si>
  <si>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</si>
  <si>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</si>
  <si>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SSC/N0202 - Score</t>
  </si>
  <si>
    <t xml:space="preserve">Pass/Fail</t>
  </si>
  <si>
    <t xml:space="preserve">DGT/VSQ/N0101 - Score</t>
  </si>
  <si>
    <t xml:space="preserve">Total</t>
  </si>
  <si>
    <t xml:space="preserve">Result of QP (Pass/Fail)</t>
  </si>
  <si>
    <t xml:space="preserve">Overall %</t>
  </si>
  <si>
    <t xml:space="preserve">KARAN</t>
  </si>
  <si>
    <t xml:space="preserve">CAN_39954090</t>
  </si>
  <si>
    <t xml:space="preserve">-</t>
  </si>
  <si>
    <t xml:space="preserve">Raj Mandal</t>
  </si>
  <si>
    <t xml:space="preserve">CAN_39935869</t>
  </si>
  <si>
    <t xml:space="preserve">M</t>
  </si>
  <si>
    <t xml:space="preserve">Deepak Raikwar</t>
  </si>
  <si>
    <t xml:space="preserve">CAN_39954224</t>
  </si>
  <si>
    <t xml:space="preserve">Gaurav</t>
  </si>
  <si>
    <t xml:space="preserve">CAN_39954513</t>
  </si>
  <si>
    <t xml:space="preserve">Rounak</t>
  </si>
  <si>
    <t xml:space="preserve">CAN_39937223</t>
  </si>
  <si>
    <t xml:space="preserve">Sonu</t>
  </si>
  <si>
    <t xml:space="preserve">CAN_39955061</t>
  </si>
  <si>
    <t xml:space="preserve">Sunny Kumar</t>
  </si>
  <si>
    <t xml:space="preserve">CAN_39940742</t>
  </si>
  <si>
    <t xml:space="preserve">Mohd Nihal</t>
  </si>
  <si>
    <t xml:space="preserve">CAN_39943269</t>
  </si>
  <si>
    <t xml:space="preserve">Saifuddin Mollah</t>
  </si>
  <si>
    <t xml:space="preserve">CAN_39952760</t>
  </si>
  <si>
    <t xml:space="preserve">Sunder</t>
  </si>
  <si>
    <t xml:space="preserve">CAN_39954790</t>
  </si>
  <si>
    <t xml:space="preserve">Rafi Mohammad</t>
  </si>
  <si>
    <t xml:space="preserve">CAN_39954370</t>
  </si>
  <si>
    <t xml:space="preserve">Vaibhav Maheshwari</t>
  </si>
  <si>
    <t xml:space="preserve">CAN_35884779</t>
  </si>
  <si>
    <t xml:space="preserve">Shivam</t>
  </si>
  <si>
    <t xml:space="preserve">CAN_39954950</t>
  </si>
  <si>
    <t xml:space="preserve">Karan Singh</t>
  </si>
  <si>
    <t xml:space="preserve">CAN_39953905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</si>
  <si>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</si>
  <si>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</si>
  <si>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</si>
  <si>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</si>
  <si>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</si>
  <si>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</si>
  <si>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</si>
  <si>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</si>
  <si>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</si>
  <si>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</si>
  <si>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</si>
  <si>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</si>
  <si>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</si>
  <si>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</si>
  <si>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</si>
  <si>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</si>
  <si>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</si>
  <si>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</si>
  <si>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</si>
  <si>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</si>
  <si>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SSC/N0202</t>
  </si>
  <si>
    <t xml:space="preserve">DGT/VSQ/N0101</t>
  </si>
  <si>
    <t xml:space="preserve">WEAK PCs (AVERAGE SCORE LESS THAN 50%)</t>
  </si>
  <si>
    <t xml:space="preserve">PC10</t>
  </si>
  <si>
    <t xml:space="preserve">PC16</t>
  </si>
  <si>
    <t xml:space="preserve">PC11</t>
  </si>
  <si>
    <t xml:space="preserve">PC12</t>
  </si>
  <si>
    <t xml:space="preserve">Moderately weak PCs (AVERAGE SCORE BETWEEN 50-70%)</t>
  </si>
  <si>
    <t xml:space="preserve">PC7</t>
  </si>
  <si>
    <t xml:space="preserve">PC20</t>
  </si>
  <si>
    <t xml:space="preserve">PC22</t>
  </si>
  <si>
    <t xml:space="preserve">PC1</t>
  </si>
  <si>
    <t xml:space="preserve">PC2</t>
  </si>
  <si>
    <t xml:space="preserve">PC5</t>
  </si>
  <si>
    <t xml:space="preserve">PC6</t>
  </si>
  <si>
    <t xml:space="preserve">STRONG PCs (AVERAGE SCORE MORE THAN 70%)</t>
  </si>
  <si>
    <t xml:space="preserve">PC8</t>
  </si>
  <si>
    <t xml:space="preserve">PC14</t>
  </si>
  <si>
    <t xml:space="preserve">PC15</t>
  </si>
  <si>
    <t xml:space="preserve">PC3</t>
  </si>
  <si>
    <t xml:space="preserve">PC4</t>
  </si>
  <si>
    <t xml:space="preserve">PC9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</si>
</sst>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/mm/yyyy"/>
    <numFmt numFmtId="167" formatCode="General"/>
    <numFmt numFmtId="168" formatCode="0.00"/>
    <numFmt numFmtId="169" formatCode="0%"/>
    <numFmt numFmtId="170" formatCode="[$-409]dd\-mmm\-yy;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9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gapWidth val="219"/>
        <c:overlap val="-27"/>
        <c:axId val="80288630"/>
        <c:axId val="64884155"/>
      </c:barChart>
      <c:catAx>
        <c:axId val="802886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84155"/>
        <c:auto val="1"/>
        <c:lblAlgn val="ctr"/>
        <c:lblOffset val="100"/>
        <c:noMultiLvlLbl val="0"/>
      </c:catAx>
      <c:valAx>
        <c:axId val="6488415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2886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660542619099"/>
          <c:y val="0.128410513141427"/>
          <c:w val="0.905290892259489"/>
          <c:h val="0.55219023779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'Batch Analysis - Tabular'!$B$13:$B$14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'Batch Analysis - Tabular'!$C$13:$C$14</c:f>
              <c:numCache>
                <c:formatCode>General</c:formatCode>
                <c:ptCount val="2"/>
                <c:pt idx="0">
                  <c:v>10.4071428571429</c:v>
                </c:pt>
                <c:pt idx="1">
                  <c:v>5.78571428571429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'Batch Analysis - Tabular'!$D$13:$D$14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'Batch Analysis - Tabular'!$E$13:$E$14</c:f>
              <c:numCache>
                <c:formatCode>General</c:formatCode>
                <c:ptCount val="2"/>
                <c:pt idx="0">
                  <c:v>79</c:v>
                </c:pt>
                <c:pt idx="1">
                  <c:v>47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'Batch Analysis - Tabular'!$F$13:$F$14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SSC/N0202</c:v>
                </c:pt>
                <c:pt idx="1">
                  <c:v>DGT/VSQ/N0101</c:v>
                </c:pt>
              </c:strCache>
            </c:strRef>
          </c:cat>
          <c:val>
            <c:numRef>
              <c:f>'Batch Analysis - Tabular'!$G$13:$G$14</c:f>
              <c:numCache>
                <c:formatCode>General</c:formatCode>
                <c:ptCount val="2"/>
                <c:pt idx="0">
                  <c:v>25.5979481400286</c:v>
                </c:pt>
                <c:pt idx="1">
                  <c:v>14.3834159037839</c:v>
                </c:pt>
              </c:numCache>
            </c:numRef>
          </c:val>
        </c:ser>
        <c:gapWidth val="150"/>
        <c:overlap val="0"/>
        <c:axId val="87943586"/>
        <c:axId val="87765353"/>
      </c:barChart>
      <c:catAx>
        <c:axId val="879435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765353"/>
        <c:crosses val="autoZero"/>
        <c:auto val="1"/>
        <c:lblAlgn val="ctr"/>
        <c:lblOffset val="100"/>
        <c:noMultiLvlLbl val="0"/>
      </c:catAx>
      <c:valAx>
        <c:axId val="8776535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9435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74716760"/>
        <c:axId val="9184468"/>
      </c:barChart>
      <c:catAx>
        <c:axId val="74716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84468"/>
        <c:crosses val="autoZero"/>
        <c:auto val="1"/>
        <c:lblAlgn val="ctr"/>
        <c:lblOffset val="100"/>
        <c:noMultiLvlLbl val="0"/>
      </c:catAx>
      <c:valAx>
        <c:axId val="91844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7167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324720</xdr:colOff>
      <xdr:row>17</xdr:row>
      <xdr:rowOff>94320</xdr:rowOff>
    </xdr:to>
    <xdr:graphicFrame>
      <xdr:nvGraphicFramePr>
        <xdr:cNvPr id="0" name="Chart 1"/>
        <xdr:cNvGraphicFramePr/>
      </xdr:nvGraphicFramePr>
      <xdr:xfrm>
        <a:off x="192240" y="466560"/>
        <a:ext cx="4412880" cy="286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16</xdr:col>
      <xdr:colOff>35280</xdr:colOff>
      <xdr:row>17</xdr:row>
      <xdr:rowOff>104040</xdr:rowOff>
    </xdr:to>
    <xdr:graphicFrame>
      <xdr:nvGraphicFramePr>
        <xdr:cNvPr id="1" name="Chart 2"/>
        <xdr:cNvGraphicFramePr/>
      </xdr:nvGraphicFramePr>
      <xdr:xfrm>
        <a:off x="4764240" y="466560"/>
        <a:ext cx="505512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198000</xdr:colOff>
      <xdr:row>2</xdr:row>
      <xdr:rowOff>76320</xdr:rowOff>
    </xdr:from>
    <xdr:to>
      <xdr:col>23</xdr:col>
      <xdr:colOff>502200</xdr:colOff>
      <xdr:row>17</xdr:row>
      <xdr:rowOff>75600</xdr:rowOff>
    </xdr:to>
    <xdr:graphicFrame>
      <xdr:nvGraphicFramePr>
        <xdr:cNvPr id="2" name="Chart 3"/>
        <xdr:cNvGraphicFramePr/>
      </xdr:nvGraphicFramePr>
      <xdr:xfrm>
        <a:off x="9982080" y="457200"/>
        <a:ext cx="45846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7" activeCellId="0" sqref="E7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3.57"/>
    <col collapsed="false" customWidth="true" hidden="false" outlineLevel="0" max="3" min="3" style="1" width="20.71"/>
    <col collapsed="false" customWidth="true" hidden="false" outlineLevel="0" max="4" min="4" style="1" width="10.85"/>
    <col collapsed="false" customWidth="true" hidden="false" outlineLevel="0" max="5" min="5" style="1" width="16.29"/>
    <col collapsed="false" customWidth="true" hidden="false" outlineLevel="0" max="6" min="6" style="1" width="13.86"/>
    <col collapsed="false" customWidth="true" hidden="false" outlineLevel="0" max="7" min="7" style="1" width="13.15"/>
    <col collapsed="false" customWidth="true" hidden="false" outlineLevel="0" max="8" min="8" style="1" width="12.86"/>
    <col collapsed="false" customWidth="true" hidden="false" outlineLevel="0" max="11" min="9" style="1" width="13.15"/>
    <col collapsed="false" customWidth="false" hidden="false" outlineLevel="0" max="16384" min="12" style="2" width="9.14"/>
  </cols>
  <sheetData>
    <row r="1" customFormat="false" ht="13.8" hidden="false" customHeight="false" outlineLevel="0" collapsed="false">
      <c r="A1" s="3" t="s">
        <v>0</v>
      </c>
      <c r="B1" s="3" t="s">
        <v>1</v>
      </c>
    </row>
    <row r="2" customFormat="false" ht="24.85" hidden="false" customHeight="false" outlineLevel="0" collapsed="false">
      <c r="A2" s="3" t="s">
        <v>2</v>
      </c>
      <c r="B2" s="4" t="s">
        <v>3</v>
      </c>
    </row>
    <row r="3" customFormat="false" ht="13.8" hidden="false" customHeight="false" outlineLevel="0" collapsed="false">
      <c r="A3" s="3" t="s">
        <v>4</v>
      </c>
      <c r="B3" s="3" t="s">
        <v>5</v>
      </c>
    </row>
    <row r="4" customFormat="false" ht="13.8" hidden="false" customHeight="false" outlineLevel="0" collapsed="false">
      <c r="A4" s="3" t="s">
        <v>6</v>
      </c>
      <c r="B4" s="3" t="s">
        <v>7</v>
      </c>
    </row>
    <row r="5" customFormat="false" ht="13.8" hidden="false" customHeight="false" outlineLevel="0" collapsed="false">
      <c r="A5" s="3" t="s">
        <v>8</v>
      </c>
      <c r="B5" s="3" t="s">
        <v>9</v>
      </c>
    </row>
    <row r="6" customFormat="false" ht="13.8" hidden="false" customHeight="false" outlineLevel="0" collapsed="false">
      <c r="A6" s="3" t="s">
        <v>10</v>
      </c>
      <c r="B6" s="3" t="s">
        <v>11</v>
      </c>
    </row>
    <row r="7" customFormat="false" ht="13.8" hidden="false" customHeight="false" outlineLevel="0" collapsed="false">
      <c r="A7" s="3" t="s">
        <v>12</v>
      </c>
      <c r="B7" s="3" t="s">
        <v>13</v>
      </c>
    </row>
    <row r="8" customFormat="false" ht="13.8" hidden="false" customHeight="false" outlineLevel="0" collapsed="false">
      <c r="A8" s="3" t="s">
        <v>14</v>
      </c>
      <c r="B8" s="3" t="s">
        <v>15</v>
      </c>
    </row>
    <row r="9" customFormat="false" ht="13.8" hidden="false" customHeight="false" outlineLevel="0" collapsed="false">
      <c r="A9" s="3" t="s">
        <v>16</v>
      </c>
      <c r="B9" s="3" t="s">
        <v>17</v>
      </c>
    </row>
    <row r="10" s="1" customFormat="true" ht="13.8" hidden="false" customHeight="false" outlineLevel="0" collapsed="false">
      <c r="A10" s="3" t="s">
        <v>18</v>
      </c>
      <c r="B10" s="5" t="n">
        <v>3739369</v>
      </c>
    </row>
    <row r="11" s="1" customFormat="true" ht="13.8" hidden="false" customHeight="false" outlineLevel="0" collapsed="false">
      <c r="A11" s="6"/>
      <c r="B11" s="6"/>
    </row>
    <row r="13" customFormat="false" ht="24.85" hidden="false" customHeight="false" outlineLevel="0" collapsed="false">
      <c r="A13" s="7" t="s">
        <v>18</v>
      </c>
      <c r="B13" s="7" t="s">
        <v>19</v>
      </c>
      <c r="C13" s="7" t="s">
        <v>20</v>
      </c>
      <c r="D13" s="7" t="s">
        <v>21</v>
      </c>
      <c r="E13" s="7" t="s">
        <v>22</v>
      </c>
      <c r="F13" s="8" t="s">
        <v>23</v>
      </c>
      <c r="G13" s="8" t="s">
        <v>24</v>
      </c>
      <c r="H13" s="8" t="s">
        <v>25</v>
      </c>
      <c r="I13" s="8" t="s">
        <v>24</v>
      </c>
      <c r="J13" s="8" t="s">
        <v>26</v>
      </c>
      <c r="K13" s="8" t="s">
        <v>27</v>
      </c>
      <c r="L13" s="8" t="s">
        <v>28</v>
      </c>
    </row>
    <row r="14" customFormat="false" ht="15.8" hidden="false" customHeight="false" outlineLevel="0" collapsed="false">
      <c r="A14" s="5" t="n">
        <v>3739369</v>
      </c>
      <c r="B14" s="9" t="s">
        <v>29</v>
      </c>
      <c r="C14" s="9" t="s">
        <v>30</v>
      </c>
      <c r="D14" s="9" t="s">
        <v>31</v>
      </c>
      <c r="E14" s="10" t="n">
        <v>46216</v>
      </c>
      <c r="F14" s="9" t="n">
        <v>0</v>
      </c>
      <c r="G14" s="3" t="str">
        <f aca="false">IF(F14&gt;=50,"PASS",IF(F14&gt;0,"FAIL", "ABSENT"))</f>
        <v>ABSENT</v>
      </c>
      <c r="H14" s="9" t="n">
        <v>0</v>
      </c>
      <c r="I14" s="3" t="str">
        <f aca="false">IF(H14&gt;=25,"PASS",IF(H14&gt;0,"FAIL", "ABSENT"))</f>
        <v>ABSENT</v>
      </c>
      <c r="J14" s="11" t="n">
        <f aca="false">F14+H14</f>
        <v>0</v>
      </c>
      <c r="K14" s="3" t="str">
        <f aca="false">IF(L14&gt;=50,"PASS",IF(L14&gt;0,"FAIL","ABSENT"))</f>
        <v>ABSENT</v>
      </c>
      <c r="L14" s="12" t="n">
        <f aca="false">J14/150*100</f>
        <v>0</v>
      </c>
    </row>
    <row r="15" customFormat="false" ht="15.8" hidden="false" customHeight="false" outlineLevel="0" collapsed="false">
      <c r="A15" s="5" t="n">
        <v>3739369</v>
      </c>
      <c r="B15" s="9" t="s">
        <v>32</v>
      </c>
      <c r="C15" s="9" t="s">
        <v>33</v>
      </c>
      <c r="D15" s="9" t="s">
        <v>34</v>
      </c>
      <c r="E15" s="10" t="n">
        <v>46216</v>
      </c>
      <c r="F15" s="9" t="n">
        <v>79</v>
      </c>
      <c r="G15" s="3" t="str">
        <f aca="false">IF(F15&gt;=50,"PASS",IF(F15&gt;0,"FAIL", "ABSENT"))</f>
        <v>PASS</v>
      </c>
      <c r="H15" s="9" t="n">
        <v>34</v>
      </c>
      <c r="I15" s="3" t="str">
        <f aca="false">IF(H15&gt;=25,"PASS",IF(H15&gt;0,"FAIL", "ABSENT"))</f>
        <v>PASS</v>
      </c>
      <c r="J15" s="11" t="n">
        <f aca="false">F15+H15</f>
        <v>113</v>
      </c>
      <c r="K15" s="3" t="str">
        <f aca="false">IF(L15&gt;=50,"PASS",IF(L15&gt;0,"FAIL","ABSENT"))</f>
        <v>PASS</v>
      </c>
      <c r="L15" s="12" t="n">
        <f aca="false">J15/150*100</f>
        <v>75.3333333333333</v>
      </c>
    </row>
    <row r="16" customFormat="false" ht="15.8" hidden="false" customHeight="false" outlineLevel="0" collapsed="false">
      <c r="A16" s="5" t="n">
        <v>3739369</v>
      </c>
      <c r="B16" s="9" t="s">
        <v>35</v>
      </c>
      <c r="C16" s="9" t="s">
        <v>36</v>
      </c>
      <c r="D16" s="9" t="s">
        <v>31</v>
      </c>
      <c r="E16" s="10" t="n">
        <v>46216</v>
      </c>
      <c r="F16" s="9" t="n">
        <v>0</v>
      </c>
      <c r="G16" s="3" t="str">
        <f aca="false">IF(F16&gt;=50,"PASS",IF(F16&gt;0,"FAIL", "ABSENT"))</f>
        <v>ABSENT</v>
      </c>
      <c r="H16" s="9" t="n">
        <v>0</v>
      </c>
      <c r="I16" s="3" t="str">
        <f aca="false">IF(H16&gt;=25,"PASS",IF(H16&gt;0,"FAIL", "ABSENT"))</f>
        <v>ABSENT</v>
      </c>
      <c r="J16" s="11" t="n">
        <f aca="false">F16+H16</f>
        <v>0</v>
      </c>
      <c r="K16" s="3" t="str">
        <f aca="false">IF(L16&gt;=50,"PASS",IF(L16&gt;0,"FAIL","ABSENT"))</f>
        <v>ABSENT</v>
      </c>
      <c r="L16" s="12" t="n">
        <f aca="false">J16/150*100</f>
        <v>0</v>
      </c>
    </row>
    <row r="17" customFormat="false" ht="15.8" hidden="false" customHeight="false" outlineLevel="0" collapsed="false">
      <c r="A17" s="5" t="n">
        <v>3739369</v>
      </c>
      <c r="B17" s="9" t="s">
        <v>37</v>
      </c>
      <c r="C17" s="9" t="s">
        <v>38</v>
      </c>
      <c r="D17" s="9" t="s">
        <v>31</v>
      </c>
      <c r="E17" s="10" t="n">
        <v>46216</v>
      </c>
      <c r="F17" s="9" t="n">
        <v>0</v>
      </c>
      <c r="G17" s="3" t="str">
        <f aca="false">IF(F17&gt;=50,"PASS",IF(F17&gt;0,"FAIL", "ABSENT"))</f>
        <v>ABSENT</v>
      </c>
      <c r="H17" s="9" t="n">
        <v>0</v>
      </c>
      <c r="I17" s="3" t="str">
        <f aca="false">IF(H17&gt;=25,"PASS",IF(H17&gt;0,"FAIL", "ABSENT"))</f>
        <v>ABSENT</v>
      </c>
      <c r="J17" s="11" t="n">
        <f aca="false">F17+H17</f>
        <v>0</v>
      </c>
      <c r="K17" s="3" t="str">
        <f aca="false">IF(L17&gt;=50,"PASS",IF(L17&gt;0,"FAIL","ABSENT"))</f>
        <v>ABSENT</v>
      </c>
      <c r="L17" s="12" t="n">
        <f aca="false">J17/150*100</f>
        <v>0</v>
      </c>
    </row>
    <row r="18" customFormat="false" ht="15.8" hidden="false" customHeight="false" outlineLevel="0" collapsed="false">
      <c r="A18" s="5" t="n">
        <v>3739369</v>
      </c>
      <c r="B18" s="9" t="s">
        <v>39</v>
      </c>
      <c r="C18" s="9" t="s">
        <v>40</v>
      </c>
      <c r="D18" s="9" t="s">
        <v>31</v>
      </c>
      <c r="E18" s="10" t="n">
        <v>46216</v>
      </c>
      <c r="F18" s="9" t="n">
        <v>0</v>
      </c>
      <c r="G18" s="3" t="str">
        <f aca="false">IF(F18&gt;=50,"PASS",IF(F18&gt;0,"FAIL", "ABSENT"))</f>
        <v>ABSENT</v>
      </c>
      <c r="H18" s="9" t="n">
        <v>0</v>
      </c>
      <c r="I18" s="3" t="str">
        <f aca="false">IF(H18&gt;=25,"PASS",IF(H18&gt;0,"FAIL", "ABSENT"))</f>
        <v>ABSENT</v>
      </c>
      <c r="J18" s="11" t="n">
        <f aca="false">F18+H18</f>
        <v>0</v>
      </c>
      <c r="K18" s="3" t="str">
        <f aca="false">IF(L18&gt;=50,"PASS",IF(L18&gt;0,"FAIL","ABSENT"))</f>
        <v>ABSENT</v>
      </c>
      <c r="L18" s="12" t="n">
        <f aca="false">J18/150*100</f>
        <v>0</v>
      </c>
    </row>
    <row r="19" customFormat="false" ht="15.8" hidden="false" customHeight="false" outlineLevel="0" collapsed="false">
      <c r="A19" s="5" t="n">
        <v>3739369</v>
      </c>
      <c r="B19" s="9" t="s">
        <v>41</v>
      </c>
      <c r="C19" s="9" t="s">
        <v>42</v>
      </c>
      <c r="D19" s="9" t="s">
        <v>31</v>
      </c>
      <c r="E19" s="10" t="n">
        <v>46216</v>
      </c>
      <c r="F19" s="9" t="n">
        <v>0</v>
      </c>
      <c r="G19" s="3" t="str">
        <f aca="false">IF(F19&gt;=50,"PASS",IF(F19&gt;0,"FAIL", "ABSENT"))</f>
        <v>ABSENT</v>
      </c>
      <c r="H19" s="9" t="n">
        <v>0</v>
      </c>
      <c r="I19" s="3" t="str">
        <f aca="false">IF(H19&gt;=25,"PASS",IF(H19&gt;0,"FAIL", "ABSENT"))</f>
        <v>ABSENT</v>
      </c>
      <c r="J19" s="11" t="n">
        <f aca="false">F19+H19</f>
        <v>0</v>
      </c>
      <c r="K19" s="3" t="str">
        <f aca="false">IF(L19&gt;=50,"PASS",IF(L19&gt;0,"FAIL","ABSENT"))</f>
        <v>ABSENT</v>
      </c>
      <c r="L19" s="12" t="n">
        <f aca="false">J19/150*100</f>
        <v>0</v>
      </c>
    </row>
    <row r="20" customFormat="false" ht="15.8" hidden="false" customHeight="false" outlineLevel="0" collapsed="false">
      <c r="A20" s="5" t="n">
        <v>3739369</v>
      </c>
      <c r="B20" s="9" t="s">
        <v>43</v>
      </c>
      <c r="C20" s="9" t="s">
        <v>44</v>
      </c>
      <c r="D20" s="9" t="s">
        <v>31</v>
      </c>
      <c r="E20" s="10" t="n">
        <v>46216</v>
      </c>
      <c r="F20" s="9" t="n">
        <v>0</v>
      </c>
      <c r="G20" s="3" t="str">
        <f aca="false">IF(F20&gt;=50,"PASS",IF(F20&gt;0,"FAIL", "ABSENT"))</f>
        <v>ABSENT</v>
      </c>
      <c r="H20" s="9" t="n">
        <v>0</v>
      </c>
      <c r="I20" s="3" t="str">
        <f aca="false">IF(H20&gt;=25,"PASS",IF(H20&gt;0,"FAIL", "ABSENT"))</f>
        <v>ABSENT</v>
      </c>
      <c r="J20" s="11" t="n">
        <f aca="false">F20+H20</f>
        <v>0</v>
      </c>
      <c r="K20" s="3" t="str">
        <f aca="false">IF(L20&gt;=50,"PASS",IF(L20&gt;0,"FAIL","ABSENT"))</f>
        <v>ABSENT</v>
      </c>
      <c r="L20" s="12" t="n">
        <f aca="false">J20/150*100</f>
        <v>0</v>
      </c>
    </row>
    <row r="21" customFormat="false" ht="15.8" hidden="false" customHeight="false" outlineLevel="0" collapsed="false">
      <c r="A21" s="5" t="n">
        <v>3739369</v>
      </c>
      <c r="B21" s="9" t="s">
        <v>45</v>
      </c>
      <c r="C21" s="9" t="s">
        <v>46</v>
      </c>
      <c r="D21" s="9" t="s">
        <v>31</v>
      </c>
      <c r="E21" s="10" t="n">
        <v>46216</v>
      </c>
      <c r="F21" s="9" t="n">
        <v>0</v>
      </c>
      <c r="G21" s="3" t="str">
        <f aca="false">IF(F21&gt;=50,"PASS",IF(F21&gt;0,"FAIL", "ABSENT"))</f>
        <v>ABSENT</v>
      </c>
      <c r="H21" s="9" t="n">
        <v>0</v>
      </c>
      <c r="I21" s="3" t="str">
        <f aca="false">IF(H21&gt;=25,"PASS",IF(H21&gt;0,"FAIL", "ABSENT"))</f>
        <v>ABSENT</v>
      </c>
      <c r="J21" s="11" t="n">
        <f aca="false">F21+H21</f>
        <v>0</v>
      </c>
      <c r="K21" s="3" t="str">
        <f aca="false">IF(L21&gt;=50,"PASS",IF(L21&gt;0,"FAIL","ABSENT"))</f>
        <v>ABSENT</v>
      </c>
      <c r="L21" s="12" t="n">
        <f aca="false">J21/150*100</f>
        <v>0</v>
      </c>
    </row>
    <row r="22" customFormat="false" ht="15.8" hidden="false" customHeight="false" outlineLevel="0" collapsed="false">
      <c r="A22" s="5" t="n">
        <v>3739369</v>
      </c>
      <c r="B22" s="9" t="s">
        <v>47</v>
      </c>
      <c r="C22" s="9" t="s">
        <v>48</v>
      </c>
      <c r="D22" s="9" t="s">
        <v>31</v>
      </c>
      <c r="E22" s="10" t="n">
        <v>46216</v>
      </c>
      <c r="F22" s="9" t="n">
        <v>0</v>
      </c>
      <c r="G22" s="3" t="str">
        <f aca="false">IF(F22&gt;=50,"PASS",IF(F22&gt;0,"FAIL", "ABSENT"))</f>
        <v>ABSENT</v>
      </c>
      <c r="H22" s="9" t="n">
        <v>0</v>
      </c>
      <c r="I22" s="3" t="str">
        <f aca="false">IF(H22&gt;=25,"PASS",IF(H22&gt;0,"FAIL", "ABSENT"))</f>
        <v>ABSENT</v>
      </c>
      <c r="J22" s="11" t="n">
        <f aca="false">F22+H22</f>
        <v>0</v>
      </c>
      <c r="K22" s="3" t="str">
        <f aca="false">IF(L22&gt;=50,"PASS",IF(L22&gt;0,"FAIL","ABSENT"))</f>
        <v>ABSENT</v>
      </c>
      <c r="L22" s="12" t="n">
        <f aca="false">J22/150*100</f>
        <v>0</v>
      </c>
    </row>
    <row r="23" customFormat="false" ht="15.8" hidden="false" customHeight="false" outlineLevel="0" collapsed="false">
      <c r="A23" s="5" t="n">
        <v>3739369</v>
      </c>
      <c r="B23" s="9" t="s">
        <v>49</v>
      </c>
      <c r="C23" s="9" t="s">
        <v>50</v>
      </c>
      <c r="D23" s="9" t="s">
        <v>31</v>
      </c>
      <c r="E23" s="10" t="n">
        <v>46216</v>
      </c>
      <c r="F23" s="9" t="n">
        <v>0</v>
      </c>
      <c r="G23" s="3" t="str">
        <f aca="false">IF(F23&gt;=50,"PASS",IF(F23&gt;0,"FAIL", "ABSENT"))</f>
        <v>ABSENT</v>
      </c>
      <c r="H23" s="9" t="n">
        <v>0</v>
      </c>
      <c r="I23" s="3" t="str">
        <f aca="false">IF(H23&gt;=25,"PASS",IF(H23&gt;0,"FAIL", "ABSENT"))</f>
        <v>ABSENT</v>
      </c>
      <c r="J23" s="11" t="n">
        <f aca="false">F23+H23</f>
        <v>0</v>
      </c>
      <c r="K23" s="3" t="str">
        <f aca="false">IF(L23&gt;=50,"PASS",IF(L23&gt;0,"FAIL","ABSENT"))</f>
        <v>ABSENT</v>
      </c>
      <c r="L23" s="12" t="n">
        <f aca="false">J23/150*100</f>
        <v>0</v>
      </c>
    </row>
    <row r="24" customFormat="false" ht="15.8" hidden="false" customHeight="false" outlineLevel="0" collapsed="false">
      <c r="A24" s="5" t="n">
        <v>3739369</v>
      </c>
      <c r="B24" s="9" t="s">
        <v>51</v>
      </c>
      <c r="C24" s="9" t="s">
        <v>52</v>
      </c>
      <c r="D24" s="9" t="s">
        <v>31</v>
      </c>
      <c r="E24" s="10" t="n">
        <v>46216</v>
      </c>
      <c r="F24" s="9" t="n">
        <v>0</v>
      </c>
      <c r="G24" s="3" t="str">
        <f aca="false">IF(F24&gt;=50,"PASS",IF(F24&gt;0,"FAIL", "ABSENT"))</f>
        <v>ABSENT</v>
      </c>
      <c r="H24" s="9" t="n">
        <v>0</v>
      </c>
      <c r="I24" s="3" t="str">
        <f aca="false">IF(H24&gt;=25,"PASS",IF(H24&gt;0,"FAIL", "ABSENT"))</f>
        <v>ABSENT</v>
      </c>
      <c r="J24" s="11" t="n">
        <f aca="false">F24+H24</f>
        <v>0</v>
      </c>
      <c r="K24" s="3" t="str">
        <f aca="false">IF(L24&gt;=50,"PASS",IF(L24&gt;0,"FAIL","ABSENT"))</f>
        <v>ABSENT</v>
      </c>
      <c r="L24" s="12" t="n">
        <f aca="false">J24/150*100</f>
        <v>0</v>
      </c>
    </row>
    <row r="25" customFormat="false" ht="15.8" hidden="false" customHeight="false" outlineLevel="0" collapsed="false">
      <c r="A25" s="5" t="n">
        <v>3739369</v>
      </c>
      <c r="B25" s="9" t="s">
        <v>53</v>
      </c>
      <c r="C25" s="9" t="s">
        <v>54</v>
      </c>
      <c r="D25" s="9" t="s">
        <v>34</v>
      </c>
      <c r="E25" s="10" t="n">
        <v>46216</v>
      </c>
      <c r="F25" s="9" t="n">
        <v>66.7</v>
      </c>
      <c r="G25" s="3" t="str">
        <f aca="false">IF(F25&gt;=50,"PASS",IF(F25&gt;0,"FAIL", "ABSENT"))</f>
        <v>PASS</v>
      </c>
      <c r="H25" s="9" t="n">
        <v>47</v>
      </c>
      <c r="I25" s="3" t="str">
        <f aca="false">IF(H25&gt;=25,"PASS",IF(H25&gt;0,"FAIL", "ABSENT"))</f>
        <v>PASS</v>
      </c>
      <c r="J25" s="11" t="n">
        <f aca="false">F25+H25</f>
        <v>113.7</v>
      </c>
      <c r="K25" s="3" t="str">
        <f aca="false">IF(L25&gt;=50,"PASS",IF(L25&gt;0,"FAIL","ABSENT"))</f>
        <v>PASS</v>
      </c>
      <c r="L25" s="12" t="n">
        <f aca="false">J25/150*100</f>
        <v>75.8</v>
      </c>
    </row>
    <row r="26" customFormat="false" ht="15.8" hidden="false" customHeight="false" outlineLevel="0" collapsed="false">
      <c r="A26" s="5" t="n">
        <v>3739369</v>
      </c>
      <c r="B26" s="9" t="s">
        <v>55</v>
      </c>
      <c r="C26" s="9" t="s">
        <v>56</v>
      </c>
      <c r="D26" s="9" t="s">
        <v>31</v>
      </c>
      <c r="E26" s="10" t="n">
        <v>46216</v>
      </c>
      <c r="F26" s="9" t="n">
        <v>0</v>
      </c>
      <c r="G26" s="3" t="str">
        <f aca="false">IF(F26&gt;=50,"PASS",IF(F26&gt;0,"FAIL", "ABSENT"))</f>
        <v>ABSENT</v>
      </c>
      <c r="H26" s="9" t="n">
        <v>0</v>
      </c>
      <c r="I26" s="3" t="str">
        <f aca="false">IF(H26&gt;=25,"PASS",IF(H26&gt;0,"FAIL", "ABSENT"))</f>
        <v>ABSENT</v>
      </c>
      <c r="J26" s="11" t="n">
        <f aca="false">F26+H26</f>
        <v>0</v>
      </c>
      <c r="K26" s="3" t="str">
        <f aca="false">IF(L26&gt;=50,"PASS",IF(L26&gt;0,"FAIL","ABSENT"))</f>
        <v>ABSENT</v>
      </c>
      <c r="L26" s="12" t="n">
        <f aca="false">J26/150*100</f>
        <v>0</v>
      </c>
    </row>
    <row r="27" customFormat="false" ht="15.8" hidden="false" customHeight="false" outlineLevel="0" collapsed="false">
      <c r="A27" s="5" t="n">
        <v>3739369</v>
      </c>
      <c r="B27" s="9" t="s">
        <v>57</v>
      </c>
      <c r="C27" s="9" t="s">
        <v>58</v>
      </c>
      <c r="D27" s="9" t="s">
        <v>31</v>
      </c>
      <c r="E27" s="10" t="n">
        <v>46216</v>
      </c>
      <c r="F27" s="9" t="n">
        <v>0</v>
      </c>
      <c r="G27" s="3" t="str">
        <f aca="false">IF(F27&gt;=50,"PASS",IF(F27&gt;0,"FAIL", "ABSENT"))</f>
        <v>ABSENT</v>
      </c>
      <c r="H27" s="9" t="n">
        <v>0</v>
      </c>
      <c r="I27" s="3" t="str">
        <f aca="false">IF(H27&gt;=25,"PASS",IF(H27&gt;0,"FAIL", "ABSENT"))</f>
        <v>ABSENT</v>
      </c>
      <c r="J27" s="11" t="n">
        <f aca="false">F27+H27</f>
        <v>0</v>
      </c>
      <c r="K27" s="3" t="str">
        <f aca="false">IF(L27&gt;=50,"PASS",IF(L27&gt;0,"FAIL","ABSENT"))</f>
        <v>ABSENT</v>
      </c>
      <c r="L27" s="12" t="n">
        <f aca="false">J27/150*100</f>
        <v>0</v>
      </c>
    </row>
  </sheetData>
  <conditionalFormatting sqref="E14:E27 J14:J27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8" activeCellId="0" sqref="L28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5.71"/>
    <col collapsed="false" customWidth="true" hidden="false" outlineLevel="0" max="2" min="2" style="13" width="13"/>
    <col collapsed="false" customWidth="true" hidden="false" outlineLevel="0" max="5" min="4" style="13" width="10.85"/>
    <col collapsed="false" customWidth="true" hidden="false" outlineLevel="0" max="6" min="6" style="13" width="10.29"/>
    <col collapsed="false" customWidth="true" hidden="false" outlineLevel="0" max="7" min="7" style="13" width="10.42"/>
  </cols>
  <sheetData>
    <row r="1" customFormat="false" ht="14.25" hidden="false" customHeight="true" outlineLevel="0" collapsed="false">
      <c r="A1" s="14" t="s">
        <v>59</v>
      </c>
      <c r="B1" s="14"/>
      <c r="C1" s="14"/>
      <c r="D1" s="14"/>
      <c r="E1" s="14"/>
      <c r="F1" s="14"/>
      <c r="G1" s="14"/>
    </row>
    <row r="2" customFormat="false" ht="14.25" hidden="false" customHeight="false" outlineLevel="0" collapsed="false">
      <c r="A2" s="15" t="s">
        <v>60</v>
      </c>
      <c r="B2" s="15"/>
      <c r="C2" s="15"/>
      <c r="D2" s="15"/>
      <c r="E2" s="15"/>
      <c r="F2" s="15"/>
      <c r="G2" s="15"/>
    </row>
    <row r="3" customFormat="false" ht="15" hidden="false" customHeight="false" outlineLevel="0" collapsed="false">
      <c r="A3" s="16" t="s">
        <v>61</v>
      </c>
      <c r="B3" s="17" t="n">
        <f aca="false">score_sheet!B10</f>
        <v>3739369</v>
      </c>
      <c r="C3" s="17"/>
      <c r="D3" s="17"/>
      <c r="E3" s="17"/>
      <c r="F3" s="17"/>
      <c r="G3" s="17"/>
    </row>
    <row r="4" customFormat="false" ht="25.5" hidden="false" customHeight="false" outlineLevel="0" collapsed="false">
      <c r="A4" s="18" t="s">
        <v>62</v>
      </c>
      <c r="B4" s="19" t="str">
        <f aca="false">score_sheet!B6</f>
        <v>PMKVY-4.0-CSCM STT</v>
      </c>
      <c r="C4" s="19"/>
      <c r="D4" s="20" t="s">
        <v>63</v>
      </c>
      <c r="E4" s="21" t="n">
        <v>0.5</v>
      </c>
      <c r="F4" s="21"/>
      <c r="G4" s="21"/>
    </row>
    <row r="5" customFormat="false" ht="15" hidden="false" customHeight="false" outlineLevel="0" collapsed="false">
      <c r="A5" s="22" t="s">
        <v>22</v>
      </c>
      <c r="B5" s="23" t="n">
        <f aca="false">score_sheet!E14</f>
        <v>46216</v>
      </c>
      <c r="C5" s="23"/>
      <c r="D5" s="23"/>
      <c r="E5" s="23"/>
      <c r="F5" s="23"/>
      <c r="G5" s="23"/>
    </row>
    <row r="6" customFormat="false" ht="15" hidden="false" customHeight="false" outlineLevel="0" collapsed="false">
      <c r="A6" s="24" t="s">
        <v>64</v>
      </c>
      <c r="B6" s="25" t="str">
        <f aca="false">score_sheet!B3</f>
        <v>IT Helpdesk Attendant</v>
      </c>
      <c r="C6" s="26"/>
      <c r="D6" s="27"/>
      <c r="E6" s="27"/>
      <c r="F6" s="27"/>
      <c r="G6" s="28"/>
    </row>
    <row r="7" customFormat="false" ht="14.25" hidden="false" customHeight="true" outlineLevel="0" collapsed="false">
      <c r="A7" s="16" t="s">
        <v>65</v>
      </c>
      <c r="C7" s="24" t="s">
        <v>26</v>
      </c>
      <c r="D7" s="29" t="s">
        <v>66</v>
      </c>
      <c r="E7" s="29"/>
      <c r="F7" s="14" t="s">
        <v>67</v>
      </c>
      <c r="G7" s="14" t="s">
        <v>68</v>
      </c>
    </row>
    <row r="8" customFormat="false" ht="15" hidden="false" customHeight="false" outlineLevel="0" collapsed="false">
      <c r="A8" s="16"/>
      <c r="B8" s="30" t="s">
        <v>69</v>
      </c>
      <c r="C8" s="31" t="n">
        <f aca="false">COUNT(score_sheet!L14:L27)</f>
        <v>14</v>
      </c>
      <c r="D8" s="29"/>
      <c r="E8" s="29"/>
      <c r="F8" s="32" t="n">
        <f aca="false">COUNTIF(score_sheet!D14:D27,"M")</f>
        <v>2</v>
      </c>
      <c r="G8" s="32" t="n">
        <f aca="false">COUNTIF(score_sheet!D14:D27,"F")</f>
        <v>0</v>
      </c>
    </row>
    <row r="9" customFormat="false" ht="15" hidden="false" customHeight="false" outlineLevel="0" collapsed="false">
      <c r="A9" s="16"/>
      <c r="B9" s="30" t="s">
        <v>70</v>
      </c>
      <c r="C9" s="31" t="n">
        <f aca="false">COUNTIF(score_sheet!K14:K27,"PASS")+COUNTIF(score_sheet!K14:K27,"FAIL")</f>
        <v>2</v>
      </c>
      <c r="D9" s="29"/>
      <c r="E9" s="29"/>
      <c r="F9" s="32" t="n">
        <f aca="false">COUNTIFS(score_sheet!$D$14:$D$27,"M",score_sheet!$K$14:$K$27,"PASS")+COUNTIFS(score_sheet!$D$14:$D$27,"M",score_sheet!$K$14:$K$27,"FAIL")</f>
        <v>2</v>
      </c>
      <c r="G9" s="32" t="n">
        <f aca="false">COUNTIFS(score_sheet!$D$14:$D$27,"F",score_sheet!$K$14:$K$27,"PASS")+COUNTIFS(score_sheet!$D$14:$D$27,"F",score_sheet!$K$14:$K$27,"FAIL")</f>
        <v>0</v>
      </c>
    </row>
    <row r="10" customFormat="false" ht="15" hidden="false" customHeight="false" outlineLevel="0" collapsed="false">
      <c r="A10" s="16"/>
      <c r="B10" s="30" t="s">
        <v>71</v>
      </c>
      <c r="C10" s="31" t="n">
        <f aca="false">COUNTIF(score_sheet!K14:K27,"PASS")</f>
        <v>2</v>
      </c>
      <c r="D10" s="29"/>
      <c r="E10" s="29"/>
      <c r="F10" s="32" t="n">
        <f aca="false">COUNTIFS(score_sheet!$D$14:$D$27,"M",score_sheet!$K$14:$K$27,"PASS")</f>
        <v>2</v>
      </c>
      <c r="G10" s="32" t="n">
        <f aca="false">COUNTIFS(score_sheet!$D$14:$D$27,"F",score_sheet!$K$14:$K$27,"PASS")</f>
        <v>0</v>
      </c>
    </row>
    <row r="11" customFormat="false" ht="14.25" hidden="false" customHeight="false" outlineLevel="0" collapsed="false">
      <c r="A11" s="15" t="s">
        <v>72</v>
      </c>
      <c r="B11" s="15"/>
      <c r="C11" s="15"/>
      <c r="D11" s="15"/>
      <c r="E11" s="15"/>
      <c r="F11" s="15"/>
      <c r="G11" s="15"/>
    </row>
    <row r="12" customFormat="false" ht="39" hidden="false" customHeight="false" outlineLevel="0" collapsed="false">
      <c r="A12" s="33"/>
      <c r="B12" s="14" t="s">
        <v>73</v>
      </c>
      <c r="C12" s="14" t="s">
        <v>74</v>
      </c>
      <c r="D12" s="14" t="s">
        <v>75</v>
      </c>
      <c r="E12" s="14" t="s">
        <v>76</v>
      </c>
      <c r="F12" s="14" t="s">
        <v>77</v>
      </c>
      <c r="G12" s="14" t="s">
        <v>78</v>
      </c>
    </row>
    <row r="13" customFormat="false" ht="15" hidden="false" customHeight="false" outlineLevel="0" collapsed="false">
      <c r="A13" s="34" t="s">
        <v>79</v>
      </c>
      <c r="B13" s="35" t="n">
        <f aca="false">C10/C9*100</f>
        <v>100</v>
      </c>
      <c r="C13" s="36" t="n">
        <f aca="false">AVERAGE(score_sheet!F14:F27)</f>
        <v>10.4071428571429</v>
      </c>
      <c r="D13" s="36" t="n">
        <f aca="false">MIN(score_sheet!F14:F27)</f>
        <v>0</v>
      </c>
      <c r="E13" s="37" t="n">
        <f aca="false">MAX(score_sheet!F14:F27)</f>
        <v>79</v>
      </c>
      <c r="F13" s="38" t="n">
        <f aca="false">MEDIAN(score_sheet!F14:F27)</f>
        <v>0</v>
      </c>
      <c r="G13" s="37" t="n">
        <f aca="false">STDEVP(score_sheet!F14:F27)</f>
        <v>25.5979481400286</v>
      </c>
    </row>
    <row r="14" customFormat="false" ht="15" hidden="false" customHeight="false" outlineLevel="0" collapsed="false">
      <c r="A14" s="34" t="s">
        <v>80</v>
      </c>
      <c r="B14" s="35" t="n">
        <f aca="false">C10/C9*100</f>
        <v>100</v>
      </c>
      <c r="C14" s="36" t="n">
        <f aca="false">AVERAGE(score_sheet!H14:H27)</f>
        <v>5.78571428571429</v>
      </c>
      <c r="D14" s="36" t="n">
        <f aca="false">MIN(score_sheet!H14:H27)</f>
        <v>0</v>
      </c>
      <c r="E14" s="37" t="n">
        <f aca="false">MAX(score_sheet!H14:H27)</f>
        <v>47</v>
      </c>
      <c r="F14" s="38" t="n">
        <f aca="false">MEDIAN(score_sheet!H14:H27)</f>
        <v>0</v>
      </c>
      <c r="G14" s="37" t="n">
        <f aca="false">STDEVP(score_sheet!H14:H27)</f>
        <v>14.3834159037839</v>
      </c>
    </row>
    <row r="15" customFormat="false" ht="14.25" hidden="false" customHeight="false" outlineLevel="0" collapsed="false">
      <c r="A15" s="15" t="s">
        <v>81</v>
      </c>
      <c r="B15" s="15"/>
      <c r="C15" s="15"/>
      <c r="D15" s="15"/>
      <c r="E15" s="15"/>
      <c r="F15" s="15"/>
      <c r="G15" s="15"/>
    </row>
    <row r="16" customFormat="false" ht="14.25" hidden="false" customHeight="false" outlineLevel="0" collapsed="false">
      <c r="A16" s="39"/>
      <c r="B16" s="40" t="n">
        <v>1</v>
      </c>
      <c r="C16" s="40" t="n">
        <v>2</v>
      </c>
      <c r="D16" s="40" t="n">
        <v>3</v>
      </c>
      <c r="E16" s="40" t="n">
        <v>4</v>
      </c>
      <c r="F16" s="40" t="n">
        <v>5</v>
      </c>
      <c r="G16" s="40" t="n">
        <v>6</v>
      </c>
    </row>
    <row r="17" customFormat="false" ht="13.8" hidden="false" customHeight="true" outlineLevel="0" collapsed="false">
      <c r="A17" s="41" t="s">
        <v>79</v>
      </c>
      <c r="B17" s="9" t="s">
        <v>82</v>
      </c>
      <c r="C17" s="9" t="s">
        <v>83</v>
      </c>
      <c r="D17" s="42"/>
      <c r="E17" s="42"/>
      <c r="F17" s="42"/>
      <c r="G17" s="42"/>
    </row>
    <row r="18" customFormat="false" ht="13.8" hidden="false" customHeight="false" outlineLevel="0" collapsed="false">
      <c r="A18" s="41"/>
      <c r="B18" s="42"/>
      <c r="C18" s="42"/>
      <c r="D18" s="42"/>
      <c r="E18" s="42"/>
      <c r="F18" s="42"/>
      <c r="G18" s="42"/>
    </row>
    <row r="19" customFormat="false" ht="13.8" hidden="false" customHeight="false" outlineLevel="0" collapsed="false">
      <c r="A19" s="41"/>
      <c r="B19" s="42"/>
      <c r="C19" s="42"/>
      <c r="D19" s="42"/>
      <c r="E19" s="42"/>
      <c r="F19" s="42"/>
      <c r="G19" s="42"/>
    </row>
    <row r="20" customFormat="false" ht="13.8" hidden="false" customHeight="true" outlineLevel="0" collapsed="false">
      <c r="A20" s="41" t="s">
        <v>80</v>
      </c>
      <c r="B20" s="42" t="s">
        <v>82</v>
      </c>
      <c r="C20" s="42" t="s">
        <v>84</v>
      </c>
      <c r="D20" s="42" t="s">
        <v>85</v>
      </c>
      <c r="E20" s="42"/>
      <c r="F20" s="42"/>
      <c r="G20" s="42"/>
    </row>
    <row r="21" customFormat="false" ht="13.8" hidden="false" customHeight="false" outlineLevel="0" collapsed="false">
      <c r="A21" s="41"/>
      <c r="B21" s="42"/>
      <c r="C21" s="42"/>
      <c r="D21" s="42"/>
      <c r="E21" s="42"/>
      <c r="F21" s="42"/>
      <c r="G21" s="42"/>
    </row>
    <row r="22" customFormat="false" ht="13.8" hidden="false" customHeight="false" outlineLevel="0" collapsed="false">
      <c r="A22" s="41"/>
      <c r="B22" s="42"/>
      <c r="C22" s="42"/>
      <c r="D22" s="42"/>
      <c r="E22" s="42"/>
      <c r="F22" s="42"/>
      <c r="G22" s="42"/>
    </row>
    <row r="23" customFormat="false" ht="15" hidden="false" customHeight="false" outlineLevel="0" collapsed="false">
      <c r="A23" s="15" t="s">
        <v>86</v>
      </c>
      <c r="B23" s="15"/>
      <c r="C23" s="15"/>
      <c r="D23" s="15"/>
      <c r="E23" s="15"/>
      <c r="F23" s="15"/>
      <c r="G23" s="15"/>
    </row>
    <row r="24" customFormat="false" ht="13.8" hidden="false" customHeight="true" outlineLevel="0" collapsed="false">
      <c r="A24" s="41" t="s">
        <v>79</v>
      </c>
      <c r="B24" s="9" t="s">
        <v>87</v>
      </c>
      <c r="C24" s="9" t="s">
        <v>88</v>
      </c>
      <c r="D24" s="9" t="s">
        <v>89</v>
      </c>
      <c r="E24" s="42"/>
      <c r="F24" s="42"/>
      <c r="G24" s="42"/>
    </row>
    <row r="25" customFormat="false" ht="13.8" hidden="false" customHeight="false" outlineLevel="0" collapsed="false">
      <c r="A25" s="41"/>
      <c r="B25" s="42"/>
      <c r="C25" s="42"/>
      <c r="D25" s="42"/>
      <c r="E25" s="42"/>
      <c r="F25" s="42"/>
      <c r="G25" s="42"/>
    </row>
    <row r="26" customFormat="false" ht="13.8" hidden="false" customHeight="false" outlineLevel="0" collapsed="false">
      <c r="A26" s="41"/>
      <c r="B26" s="42"/>
      <c r="C26" s="42"/>
      <c r="D26" s="42"/>
      <c r="E26" s="42"/>
      <c r="F26" s="42"/>
      <c r="G26" s="42"/>
    </row>
    <row r="27" customFormat="false" ht="15" hidden="false" customHeight="true" outlineLevel="0" collapsed="false">
      <c r="A27" s="41" t="s">
        <v>80</v>
      </c>
      <c r="B27" s="42" t="s">
        <v>90</v>
      </c>
      <c r="C27" s="42" t="s">
        <v>91</v>
      </c>
      <c r="D27" s="42" t="s">
        <v>92</v>
      </c>
      <c r="E27" s="42" t="s">
        <v>93</v>
      </c>
      <c r="F27" s="42" t="s">
        <v>87</v>
      </c>
      <c r="G27" s="42"/>
    </row>
    <row r="28" customFormat="false" ht="13.8" hidden="false" customHeight="false" outlineLevel="0" collapsed="false">
      <c r="A28" s="41"/>
      <c r="B28" s="42"/>
      <c r="C28" s="42"/>
      <c r="D28" s="42"/>
      <c r="E28" s="42"/>
      <c r="F28" s="42"/>
      <c r="G28" s="42"/>
    </row>
    <row r="29" customFormat="false" ht="13.8" hidden="false" customHeight="false" outlineLevel="0" collapsed="false">
      <c r="A29" s="41"/>
      <c r="B29" s="42"/>
      <c r="C29" s="42"/>
      <c r="D29" s="42"/>
      <c r="E29" s="42"/>
      <c r="F29" s="42"/>
      <c r="G29" s="42"/>
    </row>
    <row r="30" customFormat="false" ht="15" hidden="false" customHeight="false" outlineLevel="0" collapsed="false">
      <c r="A30" s="15" t="s">
        <v>94</v>
      </c>
      <c r="B30" s="15"/>
      <c r="C30" s="15"/>
      <c r="D30" s="15"/>
      <c r="E30" s="15"/>
      <c r="F30" s="15"/>
      <c r="G30" s="15"/>
    </row>
    <row r="31" customFormat="false" ht="13.8" hidden="false" customHeight="true" outlineLevel="0" collapsed="false">
      <c r="A31" s="41" t="s">
        <v>79</v>
      </c>
      <c r="B31" s="9" t="s">
        <v>92</v>
      </c>
      <c r="C31" s="9" t="s">
        <v>91</v>
      </c>
      <c r="D31" s="9" t="s">
        <v>95</v>
      </c>
      <c r="E31" s="9" t="s">
        <v>96</v>
      </c>
      <c r="F31" s="9" t="s">
        <v>97</v>
      </c>
      <c r="G31" s="42"/>
    </row>
    <row r="32" customFormat="false" ht="13.8" hidden="false" customHeight="false" outlineLevel="0" collapsed="false">
      <c r="A32" s="41"/>
      <c r="B32" s="42"/>
      <c r="C32" s="42"/>
      <c r="D32" s="42"/>
      <c r="E32" s="42"/>
      <c r="F32" s="42"/>
      <c r="G32" s="42"/>
    </row>
    <row r="33" customFormat="false" ht="13.8" hidden="false" customHeight="false" outlineLevel="0" collapsed="false">
      <c r="A33" s="41"/>
      <c r="B33" s="42"/>
      <c r="C33" s="42"/>
      <c r="D33" s="42"/>
      <c r="E33" s="42"/>
      <c r="F33" s="42"/>
      <c r="G33" s="42"/>
    </row>
    <row r="34" customFormat="false" ht="15" hidden="false" customHeight="true" outlineLevel="0" collapsed="false">
      <c r="A34" s="41" t="s">
        <v>80</v>
      </c>
      <c r="B34" s="9" t="s">
        <v>98</v>
      </c>
      <c r="C34" s="9" t="s">
        <v>99</v>
      </c>
      <c r="D34" s="9" t="s">
        <v>95</v>
      </c>
      <c r="E34" s="9" t="s">
        <v>100</v>
      </c>
      <c r="F34" s="42"/>
      <c r="G34" s="42"/>
    </row>
    <row r="35" customFormat="false" ht="13.8" hidden="false" customHeight="false" outlineLevel="0" collapsed="false">
      <c r="A35" s="41"/>
      <c r="B35" s="42"/>
      <c r="C35" s="42"/>
      <c r="D35" s="42"/>
      <c r="E35" s="42"/>
      <c r="F35" s="42"/>
      <c r="G35" s="42"/>
    </row>
    <row r="36" customFormat="false" ht="13.8" hidden="false" customHeight="false" outlineLevel="0" collapsed="false">
      <c r="A36" s="41"/>
      <c r="B36" s="42"/>
      <c r="C36" s="42"/>
      <c r="D36" s="42"/>
      <c r="E36" s="42"/>
      <c r="F36" s="42"/>
      <c r="G36" s="42"/>
    </row>
  </sheetData>
  <mergeCells count="18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5:G15"/>
    <mergeCell ref="A17:A19"/>
    <mergeCell ref="A20:A22"/>
    <mergeCell ref="A23:G23"/>
    <mergeCell ref="A24:A26"/>
    <mergeCell ref="A27:A29"/>
    <mergeCell ref="A30:G30"/>
    <mergeCell ref="A31:A33"/>
    <mergeCell ref="A34:A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4" activeCellId="0" sqref="F2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3" t="s">
        <v>61</v>
      </c>
      <c r="B1" s="44" t="n">
        <f aca="false">score_sheet!B10</f>
        <v>3739369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2026-07-15T12:13:50Z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