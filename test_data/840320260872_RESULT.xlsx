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0490" windowHeight="7650"/>
  </bookViews>
  <sheets>
    <sheet name="score_sheet" sheetId="1" r:id="rId1"/>
    <sheet name="Batch Analysis - Tabular" sheetId="5" r:id="rId2"/>
    <sheet name="Batch Analysis - Graph" sheetId="6" r:id="rId3"/>
  </sheets>
  <definedNames>
    <definedName name="_xlnm._FilterDatabase" localSheetId="0" hidden="1">score_sheet!$A$12:$AB$13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<sst xmlns="http://schemas.openxmlformats.org/spreadsheetml/2006/main" count="205" uniqueCount="79">
  <si>
    <t>IT-ITeS SSC NASSCOM</t>
  </si>
  <si>
    <t>RESULT OF QP BASED ASSESSMENT</t>
  </si>
  <si>
    <t>Assessment Agency Name</t>
  </si>
  <si>
    <t>IRIS Corporate Solutions Pvt Ltd</t>
  </si>
  <si>
    <t>Training Provider Name</t>
  </si>
  <si>
    <t>Mosaic - DDUKK, Chaibasa</t>
  </si>
  <si>
    <t>Qualification Pack Name/Job Role</t>
  </si>
  <si>
    <t>Application Developer - Web &amp; Mobile-V3</t>
  </si>
  <si>
    <t>Qualification Code</t>
  </si>
  <si>
    <t>SSC/Q8403</t>
  </si>
  <si>
    <t>Scheme Name</t>
  </si>
  <si>
    <t>TTT/ MT [L5-7]</t>
  </si>
  <si>
    <t>AR ID</t>
  </si>
  <si>
    <t>A-010FA6</t>
  </si>
  <si>
    <t>Batch ID</t>
  </si>
  <si>
    <t>Trainee Name</t>
  </si>
  <si>
    <t>Candidate ID</t>
  </si>
  <si>
    <t>Gender</t>
  </si>
  <si>
    <t>Assessment Date</t>
  </si>
  <si>
    <t>SSC/N8417</t>
  </si>
  <si>
    <t>Pass/Fail</t>
  </si>
  <si>
    <t>SSC/N8451</t>
  </si>
  <si>
    <t>SSC/N8125</t>
  </si>
  <si>
    <t>SSC/N8418</t>
  </si>
  <si>
    <t>SSC/N8323</t>
  </si>
  <si>
    <t>SSC/N8452</t>
  </si>
  <si>
    <t>DGT/VSQ/N0102</t>
  </si>
  <si>
    <t>SSC/N8414</t>
  </si>
  <si>
    <t>SSC/N8415</t>
  </si>
  <si>
    <t>SSC/N8416</t>
  </si>
  <si>
    <t>QP Total</t>
  </si>
  <si>
    <t>Overall Pass %</t>
  </si>
  <si>
    <t>Result of QP</t>
  </si>
  <si>
    <t>840320260872</t>
  </si>
  <si>
    <t>Vandana Rajvanshi</t>
  </si>
  <si>
    <t>TR677063</t>
  </si>
  <si>
    <t>Female</t>
  </si>
  <si>
    <t>Descriptive Analysis for the Batch</t>
  </si>
  <si>
    <t>BATCH SUMMARY</t>
  </si>
  <si>
    <t>Batch Id</t>
  </si>
  <si>
    <t>Scheme of Assessment</t>
  </si>
  <si>
    <t>Pass Criteria</t>
  </si>
  <si>
    <t>QP / Job role</t>
  </si>
  <si>
    <t>QP Result</t>
  </si>
  <si>
    <t>Total</t>
  </si>
  <si>
    <t>Gender Wise Analysis</t>
  </si>
  <si>
    <t>Male</t>
  </si>
  <si>
    <t>Enrolled</t>
  </si>
  <si>
    <t>Appeared</t>
  </si>
  <si>
    <t>Passed</t>
  </si>
  <si>
    <t>NOS SUMMARY</t>
  </si>
  <si>
    <t>% Students Passed 
(On Appeared)</t>
  </si>
  <si>
    <t>Mean</t>
  </si>
  <si>
    <t>Minimum Obtained</t>
  </si>
  <si>
    <t>Maximum Obtained</t>
  </si>
  <si>
    <t>Median</t>
  </si>
  <si>
    <t>SD</t>
  </si>
  <si>
    <t>WEAK PCs (AVERAGE SCORE LESS THAN 50%)</t>
  </si>
  <si>
    <t>PC18</t>
  </si>
  <si>
    <t>PC9</t>
  </si>
  <si>
    <t>PC12</t>
  </si>
  <si>
    <t>PC13</t>
  </si>
  <si>
    <t>PC14</t>
  </si>
  <si>
    <t>Moderately weak PCs (AVERAGE SCORE BETWEEN 50-70%)</t>
  </si>
  <si>
    <t>PC2</t>
  </si>
  <si>
    <t>PC3</t>
  </si>
  <si>
    <t>PC7</t>
  </si>
  <si>
    <t>PC8</t>
  </si>
  <si>
    <t>PC15</t>
  </si>
  <si>
    <t>PC16</t>
  </si>
  <si>
    <t>PC17</t>
  </si>
  <si>
    <t>PC19</t>
  </si>
  <si>
    <t>PC6</t>
  </si>
  <si>
    <t>PC1</t>
  </si>
  <si>
    <t>PC10</t>
  </si>
  <si>
    <t>PC11</t>
  </si>
  <si>
    <t>STRONG PCs (AVERAGE SCORE MORE THAN 70%)</t>
  </si>
  <si>
    <t>PC4</t>
  </si>
  <si>
    <t>PC5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</si>
</sst>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d/mmm/yy;@"/>
    <numFmt numFmtId="181" formatCode="0.00_ "/>
    <numFmt numFmtId="182" formatCode="dd/mmm/yy"/>
  </numFmts>
  <fonts count="3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indexed="8"/>
      <name val="Calibri"/>
      <charset val="0"/>
    </font>
    <font>
      <b/>
      <sz val="18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0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5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20" fillId="0" borderId="18" applyNumberFormat="0" applyFill="0" applyAlignment="0" applyProtection="0"/>
    <xf numFmtId="0" fontId="20" fillId="0" borderId="0" applyNumberFormat="0" applyFill="0" applyBorder="0" applyAlignment="0" applyProtection="0"/>
    <xf numFmtId="0" fontId="21" fillId="6" borderId="19" applyNumberFormat="0" applyAlignment="0" applyProtection="0"/>
    <xf numFmtId="0" fontId="22" fillId="7" borderId="20" applyNumberFormat="0" applyAlignment="0" applyProtection="0"/>
    <xf numFmtId="0" fontId="23" fillId="7" borderId="19" applyNumberFormat="0" applyAlignment="0" applyProtection="0"/>
    <xf numFmtId="0" fontId="24" fillId="8" borderId="21" applyNumberFormat="0" applyAlignment="0" applyProtection="0"/>
    <xf numFmtId="0" fontId="25" fillId="0" borderId="22" applyNumberFormat="0" applyFill="0" applyAlignment="0" applyProtection="0"/>
    <xf numFmtId="0" fontId="1" fillId="0" borderId="23" applyNumberFormat="0" applyFill="0" applyAlignment="0" applyProtection="0"/>
    <xf numFmtId="0" fontId="26" fillId="9" borderId="0" applyNumberFormat="0" applyBorder="0" applyAlignment="0" applyProtection="0"/>
    <xf numFmtId="0" fontId="27" fillId="10" borderId="0" applyNumberFormat="0" applyBorder="0" applyAlignment="0" applyProtection="0"/>
    <xf numFmtId="0" fontId="28" fillId="11" borderId="0" applyNumberFormat="0" applyBorder="0" applyAlignment="0" applyProtection="0"/>
    <xf numFmtId="0" fontId="29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29" fillId="35" borderId="0" applyNumberFormat="0" applyBorder="0" applyAlignment="0" applyProtection="0"/>
  </cellStyleXfs>
  <cellXfs count="68">
    <xf numFmtId="0" fontId="0" fillId="0" borderId="0" xfId="0"/>
    <xf numFmtId="0" fontId="1" fillId="0" borderId="0" xfId="0" applyFont="1"/>
    <xf numFmtId="0" fontId="0" fillId="0" borderId="0" xfId="0" applyAlignment="1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9" fontId="3" fillId="3" borderId="2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80" fontId="3" fillId="0" borderId="2" xfId="0" applyNumberFormat="1" applyFont="1" applyBorder="1" applyAlignment="1">
      <alignment horizontal="center" vertical="center"/>
    </xf>
    <xf numFmtId="180" fontId="3" fillId="0" borderId="3" xfId="0" applyNumberFormat="1" applyFont="1" applyBorder="1" applyAlignment="1">
      <alignment horizontal="center" vertical="center"/>
    </xf>
    <xf numFmtId="180" fontId="3" fillId="0" borderId="4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0" fontId="2" fillId="0" borderId="1" xfId="3" applyNumberFormat="1" applyFont="1" applyBorder="1" applyAlignment="1">
      <alignment horizontal="center" vertical="center" wrapText="1"/>
    </xf>
    <xf numFmtId="181" fontId="3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181" fontId="3" fillId="0" borderId="1" xfId="0" applyNumberFormat="1" applyFont="1" applyBorder="1" applyAlignment="1">
      <alignment horizontal="center" vertical="center"/>
    </xf>
    <xf numFmtId="181" fontId="3" fillId="0" borderId="1" xfId="3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3" borderId="0" xfId="0" applyFill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4" borderId="1" xfId="0" applyNumberFormat="1" applyFont="1" applyFill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 readingOrder="1"/>
    </xf>
    <xf numFmtId="0" fontId="0" fillId="0" borderId="0" xfId="0" applyAlignment="1">
      <alignment vertical="center"/>
    </xf>
    <xf numFmtId="0" fontId="6" fillId="0" borderId="14" xfId="0" applyFont="1" applyFill="1" applyBorder="1" applyAlignment="1" applyProtection="1">
      <alignment horizontal="center" vertical="center" wrapText="1"/>
    </xf>
    <xf numFmtId="182" fontId="12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1" fontId="0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 quotePrefix="1">
      <alignment horizontal="center" vertical="center" readingOrder="1"/>
    </xf>
    <xf numFmtId="0" fontId="2" fillId="0" borderId="2" xfId="0" applyFont="1" applyBorder="1" applyAlignment="1" quotePrefix="1">
      <alignment horizontal="center" vertical="center"/>
    </xf>
    <xf numFmtId="0" fontId="1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QP Result Snapshot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Tabular'!$C$8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'Batch Analysis - 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Tabular'!$C$9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'Batch Analysis - 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Tabular'!$C$10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585344"/>
        <c:axId val="68586880"/>
      </c:barChart>
      <c:catAx>
        <c:axId val="685853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86880"/>
        <c:crosses val="autoZero"/>
        <c:auto val="1"/>
        <c:lblAlgn val="ctr"/>
        <c:lblOffset val="100"/>
        <c:noMultiLvlLbl val="0"/>
      </c:catAx>
      <c:valAx>
        <c:axId val="6858688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8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674afd9-c703-4c74-b39a-0e7aa43f66f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NOS Wise Analysis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6866121885993"/>
          <c:y val="0.128432671081678"/>
          <c:w val="0.905408610313125"/>
          <c:h val="0.5522577393057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Tabular'!$B$12</c:f>
              <c:strCache>
                <c:ptCount val="1"/>
                <c:pt idx="0">
                  <c:v>% Students Passed 
(On Appeared)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Tabular'!$A$17</c:f>
              <c:strCache>
                <c:ptCount val="1"/>
                <c:pt idx="0">
                  <c:v>SSC/N8323</c:v>
                </c:pt>
              </c:strCache>
            </c:strRef>
          </c:cat>
          <c:val>
            <c:numRef>
              <c:f>'Batch Analysis - Tabular'!$B$17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'Batch Analysis - Tabular'!$C$12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Tabular'!$A$17</c:f>
              <c:strCache>
                <c:ptCount val="1"/>
                <c:pt idx="0">
                  <c:v>SSC/N8323</c:v>
                </c:pt>
              </c:strCache>
            </c:strRef>
          </c:cat>
          <c:val>
            <c:numRef>
              <c:f>'Batch Analysis - Tabular'!$C$17</c:f>
              <c:numCache>
                <c:formatCode>0.00_ </c:formatCode>
                <c:ptCount val="1"/>
                <c:pt idx="0">
                  <c:v>91.5</c:v>
                </c:pt>
              </c:numCache>
            </c:numRef>
          </c:val>
        </c:ser>
        <c:ser>
          <c:idx val="2"/>
          <c:order val="2"/>
          <c:tx>
            <c:strRef>
              <c:f>'Batch Analysis - Tabular'!$D$12</c:f>
              <c:strCache>
                <c:ptCount val="1"/>
                <c:pt idx="0">
                  <c:v>Minimum Obtained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Tabular'!$A$17</c:f>
              <c:strCache>
                <c:ptCount val="1"/>
                <c:pt idx="0">
                  <c:v>SSC/N8323</c:v>
                </c:pt>
              </c:strCache>
            </c:strRef>
          </c:cat>
          <c:val>
            <c:numRef>
              <c:f>'Batch Analysis - Tabular'!$D$17</c:f>
              <c:numCache>
                <c:formatCode>0.00_ </c:formatCode>
                <c:ptCount val="1"/>
                <c:pt idx="0">
                  <c:v>91.5</c:v>
                </c:pt>
              </c:numCache>
            </c:numRef>
          </c:val>
        </c:ser>
        <c:ser>
          <c:idx val="3"/>
          <c:order val="3"/>
          <c:tx>
            <c:strRef>
              <c:f>'Batch Analysis - Tabular'!$E$12</c:f>
              <c:strCache>
                <c:ptCount val="1"/>
                <c:pt idx="0">
                  <c:v>Maximum Obtained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0.0088300220750551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Tabular'!$A$17</c:f>
              <c:strCache>
                <c:ptCount val="1"/>
                <c:pt idx="0">
                  <c:v>SSC/N8323</c:v>
                </c:pt>
              </c:strCache>
            </c:strRef>
          </c:cat>
          <c:val>
            <c:numRef>
              <c:f>'Batch Analysis - Tabular'!$E$17</c:f>
              <c:numCache>
                <c:formatCode>0.00_ </c:formatCode>
                <c:ptCount val="1"/>
                <c:pt idx="0">
                  <c:v>91.5</c:v>
                </c:pt>
              </c:numCache>
            </c:numRef>
          </c:val>
        </c:ser>
        <c:ser>
          <c:idx val="4"/>
          <c:order val="4"/>
          <c:tx>
            <c:strRef>
              <c:f>'Batch Analysis - Tabular'!$F$12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Tabular'!$A$17</c:f>
              <c:strCache>
                <c:ptCount val="1"/>
                <c:pt idx="0">
                  <c:v>SSC/N8323</c:v>
                </c:pt>
              </c:strCache>
            </c:strRef>
          </c:cat>
          <c:val>
            <c:numRef>
              <c:f>'Batch Analysis - Tabular'!$F$17</c:f>
              <c:numCache>
                <c:formatCode>0.00_ </c:formatCode>
                <c:ptCount val="1"/>
                <c:pt idx="0">
                  <c:v>91.5</c:v>
                </c:pt>
              </c:numCache>
            </c:numRef>
          </c:val>
        </c:ser>
        <c:ser>
          <c:idx val="5"/>
          <c:order val="5"/>
          <c:tx>
            <c:strRef>
              <c:f>'Batch Analysis - Tabular'!$G$12</c:f>
              <c:strCache>
                <c:ptCount val="1"/>
                <c:pt idx="0">
                  <c:v>SD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Tabular'!$A$17</c:f>
              <c:strCache>
                <c:ptCount val="1"/>
                <c:pt idx="0">
                  <c:v>SSC/N8323</c:v>
                </c:pt>
              </c:strCache>
            </c:strRef>
          </c:cat>
          <c:val>
            <c:numRef>
              <c:f>'Batch Analysis - Tabular'!$G$17</c:f>
              <c:numCache>
                <c:formatCode>0.00_ 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621824"/>
        <c:axId val="68623360"/>
      </c:barChart>
      <c:catAx>
        <c:axId val="6862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623360"/>
        <c:crosses val="autoZero"/>
        <c:auto val="1"/>
        <c:lblAlgn val="ctr"/>
        <c:lblOffset val="100"/>
        <c:noMultiLvlLbl val="0"/>
      </c:catAx>
      <c:valAx>
        <c:axId val="6862336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62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167f2df-e21d-4195-9b87-9b47777e487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 Wise Analysis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Tabular'!$F$8:$F$10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'Batch Analysis - 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Tabular'!$G$8:$G$10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738880"/>
        <c:axId val="69740416"/>
      </c:barChart>
      <c:catAx>
        <c:axId val="6973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740416"/>
        <c:crosses val="autoZero"/>
        <c:auto val="1"/>
        <c:lblAlgn val="ctr"/>
        <c:lblOffset val="100"/>
        <c:noMultiLvlLbl val="0"/>
      </c:catAx>
      <c:valAx>
        <c:axId val="6974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73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1cf33b6-c075-4f66-a17c-d3decd73739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192405</xdr:colOff>
      <xdr:row>2</xdr:row>
      <xdr:rowOff>85725</xdr:rowOff>
    </xdr:from>
    <xdr:to>
      <xdr:col>7</xdr:col>
      <xdr:colOff>325755</xdr:colOff>
      <xdr:row>17</xdr:row>
      <xdr:rowOff>95250</xdr:rowOff>
    </xdr:to>
    <xdr:graphicFrame>
      <xdr:nvGraphicFramePr>
        <xdr:cNvPr id="2" name="Chart 1"/>
        <xdr:cNvGraphicFramePr/>
      </xdr:nvGraphicFramePr>
      <xdr:xfrm>
        <a:off x="192405" y="466725"/>
        <a:ext cx="4333875" cy="2867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483870</xdr:colOff>
      <xdr:row>2</xdr:row>
      <xdr:rowOff>85725</xdr:rowOff>
    </xdr:from>
    <xdr:to>
      <xdr:col>16</xdr:col>
      <xdr:colOff>36195</xdr:colOff>
      <xdr:row>17</xdr:row>
      <xdr:rowOff>104775</xdr:rowOff>
    </xdr:to>
    <xdr:graphicFrame>
      <xdr:nvGraphicFramePr>
        <xdr:cNvPr id="3" name="Chart 2"/>
        <xdr:cNvGraphicFramePr/>
      </xdr:nvGraphicFramePr>
      <xdr:xfrm>
        <a:off x="4684395" y="466725"/>
        <a:ext cx="4953000" cy="2876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198120</xdr:colOff>
      <xdr:row>2</xdr:row>
      <xdr:rowOff>76200</xdr:rowOff>
    </xdr:from>
    <xdr:to>
      <xdr:col>23</xdr:col>
      <xdr:colOff>502920</xdr:colOff>
      <xdr:row>17</xdr:row>
      <xdr:rowOff>76200</xdr:rowOff>
    </xdr:to>
    <xdr:graphicFrame>
      <xdr:nvGraphicFramePr>
        <xdr:cNvPr id="4" name="Chart 3"/>
        <xdr:cNvGraphicFramePr/>
      </xdr:nvGraphicFramePr>
      <xdr:xfrm>
        <a:off x="9799320" y="457200"/>
        <a:ext cx="4505325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B13"/>
  <sheetViews>
    <sheetView showGridLines="0" tabSelected="1" zoomScale="80" zoomScaleNormal="80" topLeftCell="A3" workbookViewId="0">
      <selection activeCell="D10" sqref="D10"/>
    </sheetView>
  </sheetViews>
  <sheetFormatPr defaultColWidth="9.17142857142857" defaultRowHeight="15"/>
  <cols>
    <col min="1" max="1" width="35.5333333333333" customWidth="1"/>
    <col min="2" max="2" width="41.9619047619048" customWidth="1"/>
    <col min="3" max="3" width="25.8857142857143" customWidth="1"/>
    <col min="4" max="4" width="22.4952380952381" customWidth="1"/>
    <col min="5" max="5" width="18.3904761904762" customWidth="1"/>
    <col min="6" max="6" width="17.6666666666667" customWidth="1"/>
    <col min="7" max="7" width="16.952380952381" customWidth="1"/>
    <col min="8" max="13" width="19.3619047619048" customWidth="1"/>
    <col min="14" max="14" width="23" customWidth="1"/>
    <col min="15" max="25" width="18.2380952380952" customWidth="1"/>
    <col min="26" max="26" width="20.3619047619048" customWidth="1"/>
    <col min="27" max="27" width="18.5619047619048" customWidth="1"/>
    <col min="28" max="28" width="22.447619047619" customWidth="1"/>
    <col min="29" max="29" width="12.8857142857143"/>
  </cols>
  <sheetData>
    <row r="1" ht="29" customHeight="1" spans="1:28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2"/>
      <c r="K1" s="5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31" customHeight="1" spans="1:28">
      <c r="A2" s="51" t="s">
        <v>1</v>
      </c>
      <c r="B2" s="51"/>
      <c r="C2" s="51"/>
      <c r="D2" s="51"/>
      <c r="E2" s="51"/>
      <c r="F2" s="51"/>
      <c r="G2" s="51"/>
      <c r="H2" s="51"/>
      <c r="I2" s="51"/>
      <c r="J2" s="52"/>
      <c r="K2" s="52"/>
    </row>
    <row r="3" ht="34" customHeight="1" spans="1:28">
      <c r="A3" s="53" t="s">
        <v>2</v>
      </c>
      <c r="B3" s="54" t="s">
        <v>3</v>
      </c>
    </row>
    <row r="4" ht="29" customHeight="1" spans="1:28">
      <c r="A4" s="55" t="s">
        <v>4</v>
      </c>
      <c r="B4" s="56" t="s">
        <v>5</v>
      </c>
    </row>
    <row r="5" ht="29" customHeight="1" spans="1:28">
      <c r="A5" s="55" t="s">
        <v>6</v>
      </c>
      <c r="B5" s="57" t="s">
        <v>7</v>
      </c>
    </row>
    <row r="6" ht="29" customHeight="1" spans="1:28">
      <c r="A6" s="55" t="s">
        <v>8</v>
      </c>
      <c r="B6" s="58" t="s">
        <v>9</v>
      </c>
    </row>
    <row r="7" ht="29" customHeight="1" spans="1:28">
      <c r="A7" s="55" t="s">
        <v>10</v>
      </c>
      <c r="B7" s="59" t="s">
        <v>11</v>
      </c>
    </row>
    <row r="8" ht="29" customHeight="1" spans="1:28">
      <c r="A8" s="55" t="s">
        <v>12</v>
      </c>
      <c r="B8" s="58" t="s">
        <v>13</v>
      </c>
    </row>
    <row r="9" s="50" customFormat="1" ht="29" customHeight="1" spans="1:28">
      <c r="A9" s="55" t="s">
        <v>14</v>
      </c>
      <c r="B9" s="68" t="str">
        <f>A13</f>
        <v>840320260872</v>
      </c>
    </row>
    <row r="10" s="50" customFormat="1" spans="1:28">
      <c r="A10" s="61"/>
      <c r="B10" s="61"/>
    </row>
    <row r="12" ht="54" customHeight="1" spans="1:28">
      <c r="A12" s="35" t="s">
        <v>14</v>
      </c>
      <c r="B12" s="35" t="s">
        <v>15</v>
      </c>
      <c r="C12" s="35" t="s">
        <v>16</v>
      </c>
      <c r="D12" s="35" t="s">
        <v>17</v>
      </c>
      <c r="E12" s="35" t="s">
        <v>18</v>
      </c>
      <c r="F12" s="35" t="s">
        <v>19</v>
      </c>
      <c r="G12" s="35" t="s">
        <v>20</v>
      </c>
      <c r="H12" s="35" t="s">
        <v>21</v>
      </c>
      <c r="I12" s="35" t="s">
        <v>20</v>
      </c>
      <c r="J12" s="35" t="s">
        <v>22</v>
      </c>
      <c r="K12" s="35" t="s">
        <v>20</v>
      </c>
      <c r="L12" s="35" t="s">
        <v>23</v>
      </c>
      <c r="M12" s="35" t="s">
        <v>20</v>
      </c>
      <c r="N12" s="35" t="s">
        <v>24</v>
      </c>
      <c r="O12" s="35" t="s">
        <v>20</v>
      </c>
      <c r="P12" s="35" t="s">
        <v>25</v>
      </c>
      <c r="Q12" s="35" t="s">
        <v>20</v>
      </c>
      <c r="R12" s="35" t="s">
        <v>26</v>
      </c>
      <c r="S12" s="35" t="s">
        <v>20</v>
      </c>
      <c r="T12" s="35" t="s">
        <v>27</v>
      </c>
      <c r="U12" s="35" t="s">
        <v>20</v>
      </c>
      <c r="V12" s="35" t="s">
        <v>28</v>
      </c>
      <c r="W12" s="35" t="s">
        <v>20</v>
      </c>
      <c r="X12" s="35" t="s">
        <v>29</v>
      </c>
      <c r="Y12" s="35" t="s">
        <v>20</v>
      </c>
      <c r="Z12" s="39" t="s">
        <v>30</v>
      </c>
      <c r="AA12" s="35" t="s">
        <v>31</v>
      </c>
      <c r="AB12" s="35" t="s">
        <v>32</v>
      </c>
    </row>
    <row r="13" ht="27" customHeight="1" spans="1:28">
      <c r="A13" s="68" t="s">
        <v>33</v>
      </c>
      <c r="B13" s="62" t="s">
        <v>34</v>
      </c>
      <c r="C13" s="62" t="s">
        <v>35</v>
      </c>
      <c r="D13" s="62" t="s">
        <v>36</v>
      </c>
      <c r="E13" s="63">
        <v>46240</v>
      </c>
      <c r="F13" s="62">
        <v>93.5</v>
      </c>
      <c r="G13" s="64" t="str">
        <f>IF(F13/100*100&gt;=80,"Pass","Fail")</f>
        <v>Pass</v>
      </c>
      <c r="H13" s="62">
        <v>85.2</v>
      </c>
      <c r="I13" s="64" t="str">
        <f>IF(H13/100*100&gt;=80,"Pass","Fail")</f>
        <v>Pass</v>
      </c>
      <c r="J13" s="62">
        <v>87</v>
      </c>
      <c r="K13" s="64" t="str">
        <f>IF(J13/100*100&gt;=80,"Pass","Fail")</f>
        <v>Pass</v>
      </c>
      <c r="L13" s="62">
        <v>94.5</v>
      </c>
      <c r="M13" s="64" t="str">
        <f>IF(L13/100*100&gt;=80,"Pass","Fail")</f>
        <v>Pass</v>
      </c>
      <c r="N13" s="62">
        <v>91.5</v>
      </c>
      <c r="O13" s="64" t="str">
        <f>IF(N13/100*100&gt;=80,"Pass","Fail")</f>
        <v>Pass</v>
      </c>
      <c r="P13" s="62">
        <v>97</v>
      </c>
      <c r="Q13" s="64" t="str">
        <f>IF(P13/100*100&gt;=80,"Pass","Fail")</f>
        <v>Pass</v>
      </c>
      <c r="R13" s="62">
        <v>50</v>
      </c>
      <c r="S13" s="64" t="str">
        <f>IF(R13/50*100&gt;=80,"Pass","Fail")</f>
        <v>Pass</v>
      </c>
      <c r="T13" s="64">
        <v>95.5</v>
      </c>
      <c r="U13" s="64" t="str">
        <f>IF(T13/100*100&gt;=80,"Pass","Fail")</f>
        <v>Pass</v>
      </c>
      <c r="V13" s="62">
        <v>83.3</v>
      </c>
      <c r="W13" s="64" t="str">
        <f>IF(V13/100*100&gt;=80,"Pass","Fail")</f>
        <v>Pass</v>
      </c>
      <c r="X13" s="62">
        <v>95</v>
      </c>
      <c r="Y13" s="64" t="str">
        <f>IF(X13/100*100&gt;=80,"Pass","Fail")</f>
        <v>Pass</v>
      </c>
      <c r="Z13" s="65">
        <f>SUM(F13,H13,J13,L13,N13,P13,R13,X13,T13,V13)</f>
        <v>872.5</v>
      </c>
      <c r="AA13" s="66">
        <f>Z13/950*100</f>
        <v>91.8421052631579</v>
      </c>
      <c r="AB13" s="67" t="str">
        <f>IF(AA13=0,"ABSENT",IF(AA13&gt;=80,"PASS","FAIL"))</f>
        <v>PASS</v>
      </c>
    </row>
  </sheetData>
  <autoFilter xmlns:etc="http://www.wps.cn/officeDocument/2017/etCustomData" ref="A12:AB13" etc:filterBottomFollowUsedRange="0">
    <extLst/>
  </autoFilter>
  <mergeCells count="2">
    <mergeCell ref="A1:I1"/>
    <mergeCell ref="A2:I2"/>
  </mergeCells>
  <conditionalFormatting sqref="B9"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</conditionalFormatting>
  <conditionalFormatting sqref="E13">
    <cfRule type="cellIs" dxfId="1" priority="621" operator="equal">
      <formula>"Fail"</formula>
    </cfRule>
  </conditionalFormatting>
  <conditionalFormatting sqref="F13">
    <cfRule type="cellIs" dxfId="1" priority="160" operator="equal">
      <formula>"Fail"</formula>
    </cfRule>
  </conditionalFormatting>
  <conditionalFormatting sqref="G13:M13">
    <cfRule type="cellIs" dxfId="1" priority="607" operator="equal">
      <formula>"Fail"</formula>
    </cfRule>
  </conditionalFormatting>
  <conditionalFormatting sqref="O13">
    <cfRule type="cellIs" dxfId="1" priority="606" operator="equal">
      <formula>"Fail"</formula>
    </cfRule>
  </conditionalFormatting>
  <conditionalFormatting sqref="P13">
    <cfRule type="cellIs" dxfId="1" priority="14" operator="equal">
      <formula>"Fail"</formula>
    </cfRule>
  </conditionalFormatting>
  <conditionalFormatting sqref="Q13">
    <cfRule type="cellIs" dxfId="1" priority="15" operator="equal">
      <formula>"Fail"</formula>
    </cfRule>
  </conditionalFormatting>
  <conditionalFormatting sqref="R13">
    <cfRule type="cellIs" dxfId="1" priority="11" operator="equal">
      <formula>"Fail"</formula>
    </cfRule>
  </conditionalFormatting>
  <conditionalFormatting sqref="S13:U13">
    <cfRule type="cellIs" dxfId="1" priority="13" operator="equal">
      <formula>"Fail"</formula>
    </cfRule>
  </conditionalFormatting>
  <conditionalFormatting sqref="V13">
    <cfRule type="cellIs" dxfId="1" priority="1" operator="equal">
      <formula>"Fail"</formula>
    </cfRule>
  </conditionalFormatting>
  <conditionalFormatting sqref="W13">
    <cfRule type="cellIs" dxfId="1" priority="2" operator="equal">
      <formula>"Fail"</formula>
    </cfRule>
  </conditionalFormatting>
  <conditionalFormatting sqref="X13">
    <cfRule type="cellIs" dxfId="1" priority="10" operator="equal">
      <formula>"Fail"</formula>
    </cfRule>
  </conditionalFormatting>
  <conditionalFormatting sqref="Y13">
    <cfRule type="cellIs" dxfId="1" priority="12" operator="equal">
      <formula>"Fail"</formula>
    </cfRule>
  </conditionalFormatting>
  <conditionalFormatting sqref="Z13">
    <cfRule type="cellIs" dxfId="1" priority="610" operator="equal">
      <formula>"Fail"</formula>
    </cfRule>
  </conditionalFormatting>
  <conditionalFormatting sqref="AB13">
    <cfRule type="containsText" dxfId="2" priority="3" operator="between" text="Absent">
      <formula>NOT(ISERROR(SEARCH("Absent",AB13)))</formula>
    </cfRule>
    <cfRule type="cellIs" dxfId="1" priority="608" operator="equal">
      <formula>"Fail"</formula>
    </cfRule>
  </conditionalFormatting>
  <pageMargins left="0.7" right="0.7" top="0.75" bottom="0.75" header="0.3" footer="0.3"/>
  <pageSetup paperSize="1" orientation="portrait"/>
  <headerFooter/>
  <ignoredErrors>
    <ignoredError sqref="A1:AB3 A4 C4:AB4 A5:AB6 A7:A8 C7:AB8 A9:AB12 G13 I13 K13 M13 O13 Q13 S13 U13 W13 Y13:AB13" emptyCellReferenc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G146"/>
  <sheetViews>
    <sheetView showGridLines="0" zoomScale="80" zoomScaleNormal="80" workbookViewId="0">
      <selection activeCell="J5" sqref="J5"/>
    </sheetView>
  </sheetViews>
  <sheetFormatPr defaultColWidth="9" defaultRowHeight="15" outlineLevelCol="6"/>
  <cols>
    <col min="1" max="1" width="20.1809523809524" customWidth="1"/>
    <col min="2" max="2" width="17.1333333333333" customWidth="1"/>
    <col min="3" max="7" width="15.2761904761905" customWidth="1"/>
  </cols>
  <sheetData>
    <row r="1" ht="28" customHeight="1" spans="1:7">
      <c r="A1" s="3" t="s">
        <v>37</v>
      </c>
      <c r="B1" s="3"/>
      <c r="C1" s="3"/>
      <c r="D1" s="3"/>
      <c r="E1" s="3"/>
      <c r="F1" s="3"/>
      <c r="G1" s="3"/>
    </row>
    <row r="2" ht="27" customHeight="1" spans="1:7">
      <c r="A2" s="4" t="s">
        <v>38</v>
      </c>
      <c r="B2" s="4"/>
      <c r="C2" s="4"/>
      <c r="D2" s="4"/>
      <c r="E2" s="4"/>
      <c r="F2" s="4"/>
      <c r="G2" s="4"/>
    </row>
    <row r="3" ht="25" customHeight="1" spans="1:7">
      <c r="A3" s="5" t="s">
        <v>39</v>
      </c>
      <c r="B3" s="69" t="str">
        <f>score_sheet!B9</f>
        <v>840320260872</v>
      </c>
      <c r="C3" s="7"/>
      <c r="D3" s="7"/>
      <c r="E3" s="7"/>
      <c r="F3" s="7"/>
      <c r="G3" s="8"/>
    </row>
    <row r="4" ht="32" customHeight="1" spans="1:7">
      <c r="A4" s="3" t="s">
        <v>40</v>
      </c>
      <c r="B4" s="9" t="str">
        <f>score_sheet!B7</f>
        <v>TTT/ MT [L5-7]</v>
      </c>
      <c r="C4" s="10"/>
      <c r="D4" s="3" t="s">
        <v>41</v>
      </c>
      <c r="E4" s="11">
        <v>0.8</v>
      </c>
      <c r="F4" s="12"/>
      <c r="G4" s="13"/>
    </row>
    <row r="5" ht="25" customHeight="1" spans="1:7">
      <c r="A5" s="5" t="s">
        <v>18</v>
      </c>
      <c r="B5" s="14">
        <f>score_sheet!E13</f>
        <v>46240</v>
      </c>
      <c r="C5" s="15"/>
      <c r="D5" s="15"/>
      <c r="E5" s="15"/>
      <c r="F5" s="15"/>
      <c r="G5" s="16"/>
    </row>
    <row r="6" ht="28" customHeight="1" spans="1:7">
      <c r="A6" s="5" t="s">
        <v>42</v>
      </c>
      <c r="B6" s="17" t="str">
        <f>score_sheet!B6</f>
        <v>SSC/Q8403</v>
      </c>
      <c r="C6" s="18" t="str">
        <f>score_sheet!B5</f>
        <v>Application Developer - Web &amp; Mobile-V3</v>
      </c>
      <c r="D6" s="19"/>
      <c r="E6" s="19"/>
      <c r="F6" s="19"/>
      <c r="G6" s="20"/>
    </row>
    <row r="7" ht="28" customHeight="1" spans="1:7">
      <c r="A7" s="21" t="s">
        <v>43</v>
      </c>
      <c r="B7" s="22"/>
      <c r="C7" s="5" t="s">
        <v>44</v>
      </c>
      <c r="D7" s="23" t="s">
        <v>45</v>
      </c>
      <c r="E7" s="24"/>
      <c r="F7" s="3" t="s">
        <v>46</v>
      </c>
      <c r="G7" s="3" t="s">
        <v>36</v>
      </c>
    </row>
    <row r="8" ht="28" customHeight="1" spans="1:7">
      <c r="A8" s="25"/>
      <c r="B8" s="5" t="s">
        <v>47</v>
      </c>
      <c r="C8" s="26" cm="1">
        <f t="array" ref="C8">COUNTA(_xlfn._xlws.FILTER(score_sheet!A13:A4949,score_sheet!A13:A4949&lt;&gt;""))</f>
        <v>1</v>
      </c>
      <c r="D8" s="27"/>
      <c r="E8" s="28"/>
      <c r="F8" s="29">
        <f>COUNTIF(score_sheet!D13:D4949,"Male")</f>
        <v>0</v>
      </c>
      <c r="G8" s="29">
        <f>COUNTIF(score_sheet!D13:D4949,"Female")</f>
        <v>1</v>
      </c>
    </row>
    <row r="9" ht="28" customHeight="1" spans="1:7">
      <c r="A9" s="25"/>
      <c r="B9" s="5" t="s">
        <v>48</v>
      </c>
      <c r="C9" s="26" cm="1">
        <f t="array" ref="C9">COUNT(_xlfn._xlws.FILTER(score_sheet!H13:H4949,score_sheet!A13:A4949=B3,score_sheet!H13:H4949&lt;&gt;""))</f>
        <v>1</v>
      </c>
      <c r="D9" s="27"/>
      <c r="E9" s="28"/>
      <c r="F9" s="29">
        <f>COUNTIFS(score_sheet!D:D,"Male",score_sheet!AB:AB,"&lt;&gt;ABSENT")</f>
        <v>0</v>
      </c>
      <c r="G9" s="29">
        <f>COUNTIFS(score_sheet!D:D,"Female",score_sheet!AB:AB,"&lt;&gt;ABSENT")</f>
        <v>1</v>
      </c>
    </row>
    <row r="10" ht="28" customHeight="1" spans="1:7">
      <c r="A10" s="30"/>
      <c r="B10" s="5" t="s">
        <v>49</v>
      </c>
      <c r="C10" s="26">
        <f>COUNTIF(score_sheet!AB:AB,"Pass")</f>
        <v>1</v>
      </c>
      <c r="D10" s="31"/>
      <c r="E10" s="32"/>
      <c r="F10" s="29">
        <f>COUNTIFS(score_sheet!D:D,"Male",score_sheet!AB:AB,"PASS")</f>
        <v>0</v>
      </c>
      <c r="G10" s="29">
        <f>COUNTIFS(score_sheet!D:D,"Female",score_sheet!AB:AB,"PASS")</f>
        <v>1</v>
      </c>
    </row>
    <row r="11" ht="24" customHeight="1" spans="1:7">
      <c r="A11" s="4" t="s">
        <v>50</v>
      </c>
      <c r="B11" s="4"/>
      <c r="C11" s="4"/>
      <c r="D11" s="4"/>
      <c r="E11" s="4"/>
      <c r="F11" s="4"/>
      <c r="G11" s="4"/>
    </row>
    <row r="12" ht="39" customHeight="1" spans="1:7">
      <c r="A12" s="5"/>
      <c r="B12" s="3" t="s">
        <v>51</v>
      </c>
      <c r="C12" s="3" t="s">
        <v>52</v>
      </c>
      <c r="D12" s="3" t="s">
        <v>53</v>
      </c>
      <c r="E12" s="3" t="s">
        <v>54</v>
      </c>
      <c r="F12" s="3" t="s">
        <v>55</v>
      </c>
      <c r="G12" s="3" t="s">
        <v>56</v>
      </c>
    </row>
    <row r="13" ht="25" customHeight="1" spans="1:7">
      <c r="A13" s="5" t="str">
        <f>score_sheet!F12</f>
        <v>SSC/N8417</v>
      </c>
      <c r="B13" s="33">
        <f>COUNTIFS(score_sheet!G:G,"Pass")/C9</f>
        <v>1</v>
      </c>
      <c r="C13" s="34">
        <f>AVERAGE(score_sheet!F13:F4949)</f>
        <v>93.5</v>
      </c>
      <c r="D13" s="34">
        <f>MIN(score_sheet!F13:F4949)</f>
        <v>93.5</v>
      </c>
      <c r="E13" s="34">
        <f>MAX(score_sheet!F13:F4949)</f>
        <v>93.5</v>
      </c>
      <c r="F13" s="34">
        <f>MEDIAN(score_sheet!F13:F4949)</f>
        <v>93.5</v>
      </c>
      <c r="G13" s="34" t="e">
        <f>_xlfn.STDEV.S(score_sheet!F13:F4949)</f>
        <v>#DIV/0!</v>
      </c>
    </row>
    <row r="14" ht="25" customHeight="1" spans="1:7">
      <c r="A14" s="5" t="str">
        <f>score_sheet!H12</f>
        <v>SSC/N8451</v>
      </c>
      <c r="B14" s="33">
        <f>COUNTIFS(score_sheet!I:I,"Pass")/C9</f>
        <v>1</v>
      </c>
      <c r="C14" s="34">
        <f>AVERAGE(score_sheet!H13:H4949)</f>
        <v>85.2</v>
      </c>
      <c r="D14" s="34">
        <f>MIN(score_sheet!H13:H4949)</f>
        <v>85.2</v>
      </c>
      <c r="E14" s="34">
        <f>MAX(score_sheet!H13:H4949)</f>
        <v>85.2</v>
      </c>
      <c r="F14" s="34">
        <f>MEDIAN(score_sheet!H13:H4949)</f>
        <v>85.2</v>
      </c>
      <c r="G14" s="34" t="e">
        <f>_xlfn.STDEV.S(score_sheet!H13:H4949)</f>
        <v>#DIV/0!</v>
      </c>
    </row>
    <row r="15" ht="25" customHeight="1" spans="1:7">
      <c r="A15" s="5" t="str">
        <f>score_sheet!J12</f>
        <v>SSC/N8125</v>
      </c>
      <c r="B15" s="33">
        <f>COUNTIFS(score_sheet!K:K,"Pass")/C9</f>
        <v>1</v>
      </c>
      <c r="C15" s="34">
        <f>AVERAGE(score_sheet!J13:J4949)</f>
        <v>87</v>
      </c>
      <c r="D15" s="34">
        <f>MIN(score_sheet!J13:J4949)</f>
        <v>87</v>
      </c>
      <c r="E15" s="34">
        <f>MAX(score_sheet!J13:J4949)</f>
        <v>87</v>
      </c>
      <c r="F15" s="34">
        <f>MEDIAN(score_sheet!J13:J4949)</f>
        <v>87</v>
      </c>
      <c r="G15" s="34" t="e">
        <f>_xlfn.STDEV.S(score_sheet!J13:J4949)</f>
        <v>#DIV/0!</v>
      </c>
    </row>
    <row r="16" ht="25" customHeight="1" spans="1:7">
      <c r="A16" s="5" t="str">
        <f>score_sheet!L12</f>
        <v>SSC/N8418</v>
      </c>
      <c r="B16" s="33">
        <f>COUNTIFS(score_sheet!M:M,"Pass")/C9</f>
        <v>1</v>
      </c>
      <c r="C16" s="34">
        <f>AVERAGE(score_sheet!L13:L4949)</f>
        <v>94.5</v>
      </c>
      <c r="D16" s="34">
        <f>MIN(score_sheet!L13:L4949)</f>
        <v>94.5</v>
      </c>
      <c r="E16" s="34">
        <f>MAX(score_sheet!L13:L4949)</f>
        <v>94.5</v>
      </c>
      <c r="F16" s="34">
        <f>MEDIAN(score_sheet!L13:L4949)</f>
        <v>94.5</v>
      </c>
      <c r="G16" s="34" t="e">
        <f>_xlfn.STDEV.S(score_sheet!L13:L4949)</f>
        <v>#DIV/0!</v>
      </c>
    </row>
    <row r="17" s="2" customFormat="1" ht="25" customHeight="1" spans="1:7">
      <c r="A17" s="35" t="str">
        <f>score_sheet!N12</f>
        <v>SSC/N8323</v>
      </c>
      <c r="B17" s="33">
        <f>COUNTIFS(score_sheet!O:O,"Pass")/C9</f>
        <v>1</v>
      </c>
      <c r="C17" s="36">
        <f>AVERAGE(score_sheet!N13:N4949)</f>
        <v>91.5</v>
      </c>
      <c r="D17" s="36">
        <f>MIN(score_sheet!N13:N4949)</f>
        <v>91.5</v>
      </c>
      <c r="E17" s="36">
        <f>MAX(score_sheet!N13:N4949)</f>
        <v>91.5</v>
      </c>
      <c r="F17" s="37">
        <f>MEDIAN(score_sheet!N13:N4949)</f>
        <v>91.5</v>
      </c>
      <c r="G17" s="36" t="e">
        <f>_xlfn.STDEV.S(score_sheet!N13:N4949)</f>
        <v>#DIV/0!</v>
      </c>
    </row>
    <row r="18" s="2" customFormat="1" ht="25" customHeight="1" spans="1:7">
      <c r="A18" s="35" t="str">
        <f>score_sheet!P12</f>
        <v>SSC/N8452</v>
      </c>
      <c r="B18" s="33">
        <f>COUNTIFS(score_sheet!Q:Q,"Pass")/C9</f>
        <v>1</v>
      </c>
      <c r="C18" s="36">
        <f>AVERAGE(score_sheet!P13:P4950)</f>
        <v>97</v>
      </c>
      <c r="D18" s="36">
        <f>MIN(score_sheet!P13:P4950)</f>
        <v>97</v>
      </c>
      <c r="E18" s="36">
        <f>MAX(score_sheet!P13:P4950)</f>
        <v>97</v>
      </c>
      <c r="F18" s="37">
        <f>MEDIAN(score_sheet!P13:P4950)</f>
        <v>97</v>
      </c>
      <c r="G18" s="36" t="e">
        <f>_xlfn.STDEV.S(score_sheet!P13:P4950)</f>
        <v>#DIV/0!</v>
      </c>
    </row>
    <row r="19" s="2" customFormat="1" ht="25" customHeight="1" spans="1:7">
      <c r="A19" s="35" t="str">
        <f>score_sheet!R12</f>
        <v>DGT/VSQ/N0102</v>
      </c>
      <c r="B19" s="33">
        <f>COUNTIFS(score_sheet!S:S,"Pass")/C9</f>
        <v>1</v>
      </c>
      <c r="C19" s="36">
        <f>AVERAGE(score_sheet!R13:R4951)</f>
        <v>50</v>
      </c>
      <c r="D19" s="36">
        <f>MIN(score_sheet!R13:R4951)</f>
        <v>50</v>
      </c>
      <c r="E19" s="36">
        <f>MAX(score_sheet!R13:R4951)</f>
        <v>50</v>
      </c>
      <c r="F19" s="37">
        <f>MEDIAN(score_sheet!R13:R4951)</f>
        <v>50</v>
      </c>
      <c r="G19" s="36" t="e">
        <f>_xlfn.STDEV.S(score_sheet!R13:R4951)</f>
        <v>#DIV/0!</v>
      </c>
    </row>
    <row r="20" s="2" customFormat="1" ht="25" customHeight="1" spans="1:7">
      <c r="A20" s="35" t="str">
        <f>score_sheet!T12</f>
        <v>SSC/N8414</v>
      </c>
      <c r="B20" s="33">
        <f>COUNTIFS(score_sheet!U:U,"Pass")/C9</f>
        <v>1</v>
      </c>
      <c r="C20" s="36">
        <f>AVERAGE(score_sheet!T13:T4952)</f>
        <v>95.5</v>
      </c>
      <c r="D20" s="36">
        <f>MIN(score_sheet!T13:T4952)</f>
        <v>95.5</v>
      </c>
      <c r="E20" s="36">
        <f>MAX(score_sheet!T13:T4952)</f>
        <v>95.5</v>
      </c>
      <c r="F20" s="37">
        <f>MEDIAN(score_sheet!T13:T4952)</f>
        <v>95.5</v>
      </c>
      <c r="G20" s="36" t="e">
        <f>_xlfn.STDEV.S(score_sheet!T13:T4952)</f>
        <v>#DIV/0!</v>
      </c>
    </row>
    <row r="21" s="2" customFormat="1" ht="25" customHeight="1" spans="1:7">
      <c r="A21" s="35" t="str">
        <f>score_sheet!V12</f>
        <v>SSC/N8415</v>
      </c>
      <c r="B21" s="33">
        <f>COUNTIFS(score_sheet!W:W,"Pass")/C9</f>
        <v>1</v>
      </c>
      <c r="C21" s="36">
        <f>AVERAGE(score_sheet!V13:V4952)</f>
        <v>83.3</v>
      </c>
      <c r="D21" s="36">
        <f>MIN(score_sheet!V13:V4952)</f>
        <v>83.3</v>
      </c>
      <c r="E21" s="36">
        <f>MAX(score_sheet!V13:V4952)</f>
        <v>83.3</v>
      </c>
      <c r="F21" s="37">
        <f>MEDIAN(score_sheet!V13:V4952)</f>
        <v>83.3</v>
      </c>
      <c r="G21" s="36" t="e">
        <f>_xlfn.STDEV.S(score_sheet!V13:V4952)</f>
        <v>#DIV/0!</v>
      </c>
    </row>
    <row r="22" s="2" customFormat="1" ht="25" customHeight="1" spans="1:7">
      <c r="A22" s="35" t="str">
        <f>score_sheet!X12</f>
        <v>SSC/N8416</v>
      </c>
      <c r="B22" s="33">
        <f>COUNTIFS(score_sheet!Y:Y,"Pass")/C9</f>
        <v>1</v>
      </c>
      <c r="C22" s="36">
        <f>AVERAGE(score_sheet!X13:X4953)</f>
        <v>95</v>
      </c>
      <c r="D22" s="36">
        <f>MIN(score_sheet!X13:X4953)</f>
        <v>95</v>
      </c>
      <c r="E22" s="36">
        <f>MAX(score_sheet!X13:X4953)</f>
        <v>95</v>
      </c>
      <c r="F22" s="37">
        <f>MEDIAN(score_sheet!X13:X4953)</f>
        <v>95</v>
      </c>
      <c r="G22" s="36" t="e">
        <f>_xlfn.STDEV.S(score_sheet!X13:X4953)</f>
        <v>#DIV/0!</v>
      </c>
    </row>
    <row r="23" ht="20" customHeight="1" spans="1:7">
      <c r="A23" s="4" t="s">
        <v>57</v>
      </c>
      <c r="B23" s="4"/>
      <c r="C23" s="4"/>
      <c r="D23" s="4"/>
      <c r="E23" s="4"/>
      <c r="F23" s="4"/>
      <c r="G23" s="4"/>
    </row>
    <row r="24" ht="23" customHeight="1" spans="1:7">
      <c r="A24" s="38"/>
      <c r="B24" s="17">
        <v>1</v>
      </c>
      <c r="C24" s="17">
        <v>2</v>
      </c>
      <c r="D24" s="17">
        <v>3</v>
      </c>
      <c r="E24" s="17">
        <v>4</v>
      </c>
      <c r="F24" s="17">
        <v>5</v>
      </c>
      <c r="G24" s="17">
        <v>6</v>
      </c>
    </row>
    <row r="25" ht="26" customHeight="1" spans="1:7">
      <c r="A25" s="39" t="str">
        <f>score_sheet!F12</f>
        <v>SSC/N8417</v>
      </c>
      <c r="B25" s="40"/>
      <c r="C25" s="40"/>
      <c r="D25" s="40"/>
      <c r="E25" s="40"/>
      <c r="F25" s="40"/>
      <c r="G25" s="40"/>
    </row>
    <row r="26" ht="26" customHeight="1" spans="1:7">
      <c r="A26" s="39"/>
      <c r="B26" s="40"/>
      <c r="C26" s="40"/>
      <c r="D26" s="40"/>
      <c r="E26" s="40"/>
      <c r="F26" s="40"/>
      <c r="G26" s="40"/>
    </row>
    <row r="27" ht="26" customHeight="1" spans="1:7">
      <c r="A27" s="39"/>
      <c r="B27" s="40"/>
      <c r="C27" s="40"/>
      <c r="D27" s="40"/>
      <c r="E27" s="40"/>
      <c r="F27" s="40"/>
      <c r="G27" s="40"/>
    </row>
    <row r="28" ht="26" customHeight="1" spans="1:7">
      <c r="A28" s="39"/>
      <c r="B28" s="41"/>
      <c r="C28" s="41"/>
      <c r="D28" s="41"/>
      <c r="E28" s="41"/>
      <c r="F28" s="41"/>
      <c r="G28" s="41"/>
    </row>
    <row r="29" ht="26" customHeight="1" spans="1:7">
      <c r="A29" s="39" t="str">
        <f>score_sheet!H12</f>
        <v>SSC/N8451</v>
      </c>
      <c r="B29" s="40"/>
      <c r="C29" s="42"/>
      <c r="D29" s="42"/>
      <c r="E29" s="42"/>
      <c r="F29" s="42"/>
      <c r="G29" s="42"/>
    </row>
    <row r="30" ht="26" customHeight="1" spans="1:7">
      <c r="A30" s="39"/>
      <c r="B30" s="40"/>
      <c r="C30" s="42"/>
      <c r="D30" s="42"/>
      <c r="E30" s="42"/>
      <c r="F30" s="42"/>
      <c r="G30" s="42"/>
    </row>
    <row r="31" ht="26" customHeight="1" spans="1:7">
      <c r="A31" s="39"/>
      <c r="B31" s="40"/>
      <c r="C31" s="42"/>
      <c r="D31" s="42"/>
      <c r="E31" s="42"/>
      <c r="F31" s="42"/>
      <c r="G31" s="42"/>
    </row>
    <row r="32" ht="26" customHeight="1" spans="1:7">
      <c r="A32" s="39"/>
      <c r="B32" s="40"/>
      <c r="C32" s="42"/>
      <c r="D32" s="42"/>
      <c r="E32" s="42"/>
      <c r="F32" s="42"/>
      <c r="G32" s="42"/>
    </row>
    <row r="33" ht="26" customHeight="1" spans="1:7">
      <c r="A33" s="39" t="str">
        <f>score_sheet!J12</f>
        <v>SSC/N8125</v>
      </c>
      <c r="B33" s="40" t="s">
        <v>58</v>
      </c>
      <c r="C33" s="42"/>
      <c r="D33" s="42"/>
      <c r="E33" s="42"/>
      <c r="F33" s="42"/>
      <c r="G33" s="42"/>
    </row>
    <row r="34" ht="26" customHeight="1" spans="1:7">
      <c r="A34" s="39"/>
      <c r="B34" s="40"/>
      <c r="C34" s="42"/>
      <c r="D34" s="42"/>
      <c r="E34" s="42"/>
      <c r="F34" s="42"/>
      <c r="G34" s="42"/>
    </row>
    <row r="35" ht="26" customHeight="1" spans="1:7">
      <c r="A35" s="39"/>
      <c r="B35" s="40"/>
      <c r="C35" s="42"/>
      <c r="D35" s="42"/>
      <c r="E35" s="42"/>
      <c r="F35" s="42"/>
      <c r="G35" s="42"/>
    </row>
    <row r="36" ht="26" customHeight="1" spans="1:7">
      <c r="A36" s="39"/>
      <c r="B36" s="40"/>
      <c r="C36" s="42"/>
      <c r="D36" s="42"/>
      <c r="E36" s="42"/>
      <c r="F36" s="42"/>
      <c r="G36" s="42"/>
    </row>
    <row r="37" ht="26" customHeight="1" spans="1:7">
      <c r="A37" s="39" t="str">
        <f>score_sheet!L12</f>
        <v>SSC/N8418</v>
      </c>
      <c r="B37" s="40"/>
      <c r="C37" s="42"/>
      <c r="D37" s="42"/>
      <c r="E37" s="42"/>
      <c r="F37" s="42"/>
      <c r="G37" s="42"/>
    </row>
    <row r="38" ht="26" customHeight="1" spans="1:7">
      <c r="A38" s="39"/>
      <c r="B38" s="40"/>
      <c r="C38" s="42"/>
      <c r="D38" s="42"/>
      <c r="E38" s="42"/>
      <c r="F38" s="42"/>
      <c r="G38" s="42"/>
    </row>
    <row r="39" ht="26" customHeight="1" spans="1:7">
      <c r="A39" s="39"/>
      <c r="B39" s="40"/>
      <c r="C39" s="42"/>
      <c r="D39" s="42"/>
      <c r="E39" s="42"/>
      <c r="F39" s="42"/>
      <c r="G39" s="42"/>
    </row>
    <row r="40" ht="26" customHeight="1" spans="1:7">
      <c r="A40" s="39"/>
      <c r="B40" s="40"/>
      <c r="C40" s="42"/>
      <c r="D40" s="42"/>
      <c r="E40" s="42"/>
      <c r="F40" s="42"/>
      <c r="G40" s="42"/>
    </row>
    <row r="41" ht="26" customHeight="1" spans="1:7">
      <c r="A41" s="39" t="str">
        <f>score_sheet!N12</f>
        <v>SSC/N8323</v>
      </c>
      <c r="B41" s="40"/>
      <c r="C41" s="42"/>
      <c r="D41" s="42"/>
      <c r="E41" s="42"/>
      <c r="F41" s="42"/>
      <c r="G41" s="42"/>
    </row>
    <row r="42" ht="26" customHeight="1" spans="1:7">
      <c r="A42" s="39"/>
      <c r="B42" s="40"/>
      <c r="C42" s="42"/>
      <c r="D42" s="42"/>
      <c r="E42" s="42"/>
      <c r="F42" s="42"/>
      <c r="G42" s="42"/>
    </row>
    <row r="43" ht="26" customHeight="1" spans="1:7">
      <c r="A43" s="39"/>
      <c r="B43" s="40"/>
      <c r="C43" s="42"/>
      <c r="D43" s="42"/>
      <c r="E43" s="42"/>
      <c r="F43" s="42"/>
      <c r="G43" s="42"/>
    </row>
    <row r="44" ht="26" customHeight="1" spans="1:7">
      <c r="A44" s="39"/>
      <c r="B44" s="40"/>
      <c r="C44" s="42"/>
      <c r="D44" s="42"/>
      <c r="E44" s="42"/>
      <c r="F44" s="42"/>
      <c r="G44" s="42"/>
    </row>
    <row r="45" ht="26" customHeight="1" spans="1:7">
      <c r="A45" s="39" t="str">
        <f>score_sheet!P12</f>
        <v>SSC/N8452</v>
      </c>
      <c r="B45" s="40"/>
      <c r="C45" s="42"/>
      <c r="D45" s="42"/>
      <c r="E45" s="42"/>
      <c r="F45" s="42"/>
      <c r="G45" s="42"/>
    </row>
    <row r="46" ht="26" customHeight="1" spans="1:7">
      <c r="A46" s="39"/>
      <c r="B46" s="40"/>
      <c r="C46" s="42"/>
      <c r="D46" s="42"/>
      <c r="E46" s="42"/>
      <c r="F46" s="42"/>
      <c r="G46" s="42"/>
    </row>
    <row r="47" ht="26" customHeight="1" spans="1:7">
      <c r="A47" s="39"/>
      <c r="B47" s="40"/>
      <c r="C47" s="42"/>
      <c r="D47" s="42"/>
      <c r="E47" s="42"/>
      <c r="F47" s="42"/>
      <c r="G47" s="42"/>
    </row>
    <row r="48" ht="26" customHeight="1" spans="1:7">
      <c r="A48" s="39"/>
      <c r="B48" s="40"/>
      <c r="C48" s="42"/>
      <c r="D48" s="42"/>
      <c r="E48" s="42"/>
      <c r="F48" s="42"/>
      <c r="G48" s="42"/>
    </row>
    <row r="49" ht="26" customHeight="1" spans="1:7">
      <c r="A49" s="39" t="str">
        <f>score_sheet!R12</f>
        <v>DGT/VSQ/N0102</v>
      </c>
      <c r="B49" s="40"/>
      <c r="C49" s="42"/>
      <c r="D49" s="42"/>
      <c r="E49" s="42"/>
      <c r="F49" s="42"/>
      <c r="G49" s="42"/>
    </row>
    <row r="50" ht="26" customHeight="1" spans="1:7">
      <c r="A50" s="39"/>
      <c r="B50" s="40"/>
      <c r="C50" s="42"/>
      <c r="D50" s="42"/>
      <c r="E50" s="42"/>
      <c r="F50" s="42"/>
      <c r="G50" s="42"/>
    </row>
    <row r="51" ht="26" customHeight="1" spans="1:7">
      <c r="A51" s="39"/>
      <c r="B51" s="40"/>
      <c r="C51" s="42"/>
      <c r="D51" s="42"/>
      <c r="E51" s="42"/>
      <c r="F51" s="42"/>
      <c r="G51" s="42"/>
    </row>
    <row r="52" ht="26" customHeight="1" spans="1:7">
      <c r="A52" s="39"/>
      <c r="B52" s="40"/>
      <c r="C52" s="42"/>
      <c r="D52" s="42"/>
      <c r="E52" s="42"/>
      <c r="F52" s="42"/>
      <c r="G52" s="42"/>
    </row>
    <row r="53" ht="26" customHeight="1" spans="1:7">
      <c r="A53" s="43" t="str">
        <f>score_sheet!T12</f>
        <v>SSC/N8414</v>
      </c>
      <c r="B53" s="40"/>
      <c r="C53" s="42"/>
      <c r="D53" s="42"/>
      <c r="E53" s="42"/>
      <c r="F53" s="42"/>
      <c r="G53" s="42"/>
    </row>
    <row r="54" ht="26" customHeight="1" spans="1:7">
      <c r="A54" s="44"/>
      <c r="B54" s="40"/>
      <c r="C54" s="42"/>
      <c r="D54" s="42"/>
      <c r="E54" s="42"/>
      <c r="F54" s="42"/>
      <c r="G54" s="42"/>
    </row>
    <row r="55" ht="26" customHeight="1" spans="1:7">
      <c r="A55" s="44"/>
      <c r="B55" s="40"/>
      <c r="C55" s="42"/>
      <c r="D55" s="42"/>
      <c r="E55" s="42"/>
      <c r="F55" s="42"/>
      <c r="G55" s="42"/>
    </row>
    <row r="56" ht="26" customHeight="1" spans="1:7">
      <c r="A56" s="45"/>
      <c r="B56" s="40"/>
      <c r="C56" s="42"/>
      <c r="D56" s="42"/>
      <c r="E56" s="42"/>
      <c r="F56" s="42"/>
      <c r="G56" s="42"/>
    </row>
    <row r="57" ht="26" customHeight="1" spans="1:7">
      <c r="A57" s="44" t="str">
        <f>score_sheet!V12</f>
        <v>SSC/N8415</v>
      </c>
      <c r="B57" s="40" t="s">
        <v>59</v>
      </c>
      <c r="C57" s="42" t="s">
        <v>60</v>
      </c>
      <c r="D57" s="42" t="s">
        <v>61</v>
      </c>
      <c r="E57" s="42" t="s">
        <v>62</v>
      </c>
      <c r="F57" s="42"/>
      <c r="G57" s="42"/>
    </row>
    <row r="58" ht="26" customHeight="1" spans="1:7">
      <c r="A58" s="44"/>
      <c r="B58" s="40"/>
      <c r="C58" s="42"/>
      <c r="D58" s="42"/>
      <c r="E58" s="42"/>
      <c r="F58" s="42"/>
      <c r="G58" s="42"/>
    </row>
    <row r="59" ht="26" customHeight="1" spans="1:7">
      <c r="A59" s="44"/>
      <c r="B59" s="40"/>
      <c r="C59" s="42"/>
      <c r="D59" s="42"/>
      <c r="E59" s="42"/>
      <c r="F59" s="42"/>
      <c r="G59" s="42"/>
    </row>
    <row r="60" ht="26" customHeight="1" spans="1:7">
      <c r="A60" s="45"/>
      <c r="B60" s="40"/>
      <c r="C60" s="42"/>
      <c r="D60" s="42"/>
      <c r="E60" s="42"/>
      <c r="F60" s="42"/>
      <c r="G60" s="42"/>
    </row>
    <row r="61" ht="26" customHeight="1" spans="1:7">
      <c r="A61" s="39" t="str">
        <f>score_sheet!X12</f>
        <v>SSC/N8416</v>
      </c>
      <c r="B61" s="46"/>
      <c r="C61" s="42"/>
      <c r="D61" s="42"/>
      <c r="E61" s="42"/>
      <c r="F61" s="42"/>
      <c r="G61" s="42"/>
    </row>
    <row r="62" ht="26" customHeight="1" spans="1:7">
      <c r="A62" s="39"/>
      <c r="B62" s="42"/>
      <c r="C62" s="42"/>
      <c r="D62" s="42"/>
      <c r="E62" s="42"/>
      <c r="F62" s="42"/>
      <c r="G62" s="42"/>
    </row>
    <row r="63" ht="26" customHeight="1" spans="1:7">
      <c r="A63" s="39"/>
      <c r="B63" s="42"/>
      <c r="C63" s="42"/>
      <c r="D63" s="42"/>
      <c r="E63" s="42"/>
      <c r="F63" s="42"/>
      <c r="G63" s="42"/>
    </row>
    <row r="64" ht="26" customHeight="1" spans="1:7">
      <c r="A64" s="39"/>
      <c r="B64" s="42"/>
      <c r="C64" s="42"/>
      <c r="D64" s="42"/>
      <c r="E64" s="42"/>
      <c r="F64" s="42"/>
      <c r="G64" s="42"/>
    </row>
    <row r="65" ht="25" customHeight="1" spans="1:7">
      <c r="A65" s="47" t="s">
        <v>63</v>
      </c>
      <c r="B65" s="48"/>
      <c r="C65" s="48"/>
      <c r="D65" s="48"/>
      <c r="E65" s="48"/>
      <c r="F65" s="48"/>
      <c r="G65" s="49"/>
    </row>
    <row r="66" ht="24" customHeight="1" spans="1:7">
      <c r="A66" s="39" t="str">
        <f>score_sheet!F12</f>
        <v>SSC/N8417</v>
      </c>
      <c r="B66" s="40"/>
      <c r="C66" s="40"/>
      <c r="D66" s="40"/>
      <c r="E66" s="40"/>
      <c r="F66" s="40"/>
      <c r="G66" s="40"/>
    </row>
    <row r="67" ht="24" customHeight="1" spans="1:7">
      <c r="A67" s="39"/>
      <c r="B67" s="40"/>
      <c r="C67" s="40"/>
      <c r="D67" s="40"/>
      <c r="E67" s="40"/>
      <c r="F67" s="40"/>
      <c r="G67" s="40"/>
    </row>
    <row r="68" ht="24" customHeight="1" spans="1:7">
      <c r="A68" s="39"/>
      <c r="B68" s="40"/>
      <c r="C68" s="40"/>
      <c r="D68" s="40"/>
      <c r="E68" s="40"/>
      <c r="F68" s="40"/>
      <c r="G68" s="40"/>
    </row>
    <row r="69" ht="24" customHeight="1" spans="1:7">
      <c r="A69" s="39"/>
      <c r="B69" s="41"/>
      <c r="C69" s="41"/>
      <c r="D69" s="41"/>
      <c r="E69" s="41"/>
      <c r="F69" s="41"/>
      <c r="G69" s="41"/>
    </row>
    <row r="70" ht="24" customHeight="1" spans="1:7">
      <c r="A70" s="39" t="str">
        <f>score_sheet!H12</f>
        <v>SSC/N8451</v>
      </c>
      <c r="B70" s="40" t="s">
        <v>64</v>
      </c>
      <c r="C70" s="42" t="s">
        <v>65</v>
      </c>
      <c r="D70" s="42" t="s">
        <v>66</v>
      </c>
      <c r="E70" s="42" t="s">
        <v>67</v>
      </c>
      <c r="F70" s="42"/>
      <c r="G70" s="42"/>
    </row>
    <row r="71" ht="24" customHeight="1" spans="1:7">
      <c r="A71" s="39"/>
      <c r="B71" s="40"/>
      <c r="C71" s="42"/>
      <c r="D71" s="42"/>
      <c r="E71" s="42"/>
      <c r="F71" s="42"/>
      <c r="G71" s="42"/>
    </row>
    <row r="72" ht="24" customHeight="1" spans="1:7">
      <c r="A72" s="39"/>
      <c r="B72" s="40"/>
      <c r="C72" s="42"/>
      <c r="D72" s="42"/>
      <c r="E72" s="42"/>
      <c r="F72" s="42"/>
      <c r="G72" s="42"/>
    </row>
    <row r="73" ht="24" customHeight="1" spans="1:7">
      <c r="A73" s="39"/>
      <c r="B73" s="40"/>
      <c r="C73" s="42"/>
      <c r="D73" s="42"/>
      <c r="E73" s="42"/>
      <c r="F73" s="42"/>
      <c r="G73" s="42"/>
    </row>
    <row r="74" ht="24" customHeight="1" spans="1:7">
      <c r="A74" s="39" t="str">
        <f>score_sheet!J12</f>
        <v>SSC/N8125</v>
      </c>
      <c r="B74" s="40" t="s">
        <v>62</v>
      </c>
      <c r="C74" s="42" t="s">
        <v>68</v>
      </c>
      <c r="D74" s="42" t="s">
        <v>69</v>
      </c>
      <c r="E74" s="42" t="s">
        <v>70</v>
      </c>
      <c r="F74" s="42" t="s">
        <v>71</v>
      </c>
      <c r="G74" s="42"/>
    </row>
    <row r="75" ht="24" customHeight="1" spans="1:7">
      <c r="A75" s="39"/>
      <c r="B75" s="40"/>
      <c r="C75" s="42"/>
      <c r="D75" s="42"/>
      <c r="E75" s="42"/>
      <c r="F75" s="42"/>
      <c r="G75" s="42"/>
    </row>
    <row r="76" ht="24" customHeight="1" spans="1:7">
      <c r="A76" s="39"/>
      <c r="B76" s="40"/>
      <c r="C76" s="42"/>
      <c r="D76" s="42"/>
      <c r="E76" s="42"/>
      <c r="F76" s="42"/>
      <c r="G76" s="42"/>
    </row>
    <row r="77" ht="24" customHeight="1" spans="1:7">
      <c r="A77" s="39"/>
      <c r="B77" s="40"/>
      <c r="C77" s="42"/>
      <c r="D77" s="42"/>
      <c r="E77" s="42"/>
      <c r="F77" s="42"/>
      <c r="G77" s="42"/>
    </row>
    <row r="78" ht="24" customHeight="1" spans="1:7">
      <c r="A78" s="39" t="str">
        <f>score_sheet!L12</f>
        <v>SSC/N8418</v>
      </c>
      <c r="B78" s="40" t="s">
        <v>72</v>
      </c>
      <c r="C78" s="42" t="s">
        <v>66</v>
      </c>
      <c r="D78" s="42" t="s">
        <v>68</v>
      </c>
      <c r="E78" s="42"/>
      <c r="F78" s="42"/>
      <c r="G78" s="42"/>
    </row>
    <row r="79" ht="24" customHeight="1" spans="1:7">
      <c r="A79" s="39"/>
      <c r="B79" s="40"/>
      <c r="C79" s="42"/>
      <c r="D79" s="42"/>
      <c r="E79" s="42"/>
      <c r="F79" s="42"/>
      <c r="G79" s="42"/>
    </row>
    <row r="80" ht="24" customHeight="1" spans="1:7">
      <c r="A80" s="39"/>
      <c r="B80" s="40"/>
      <c r="C80" s="42"/>
      <c r="D80" s="42"/>
      <c r="E80" s="42"/>
      <c r="F80" s="42"/>
      <c r="G80" s="42"/>
    </row>
    <row r="81" ht="24" customHeight="1" spans="1:7">
      <c r="A81" s="39"/>
      <c r="B81" s="40"/>
      <c r="C81" s="42"/>
      <c r="D81" s="42"/>
      <c r="E81" s="42"/>
      <c r="F81" s="42"/>
      <c r="G81" s="42"/>
    </row>
    <row r="82" ht="24" customHeight="1" spans="1:7">
      <c r="A82" s="43" t="str">
        <f>score_sheet!N12</f>
        <v>SSC/N8323</v>
      </c>
      <c r="B82" s="40" t="s">
        <v>73</v>
      </c>
      <c r="C82" s="42" t="s">
        <v>64</v>
      </c>
      <c r="D82" s="42"/>
      <c r="E82" s="42"/>
      <c r="F82" s="42"/>
      <c r="G82" s="42"/>
    </row>
    <row r="83" ht="24" customHeight="1" spans="1:7">
      <c r="A83" s="44"/>
      <c r="B83" s="40"/>
      <c r="C83" s="42"/>
      <c r="D83" s="42"/>
      <c r="E83" s="42"/>
      <c r="F83" s="42"/>
      <c r="G83" s="42"/>
    </row>
    <row r="84" ht="24" customHeight="1" spans="1:7">
      <c r="A84" s="44"/>
      <c r="B84" s="40"/>
      <c r="C84" s="42"/>
      <c r="D84" s="42"/>
      <c r="E84" s="42"/>
      <c r="F84" s="42"/>
      <c r="G84" s="42"/>
    </row>
    <row r="85" ht="24" customHeight="1" spans="1:7">
      <c r="A85" s="45"/>
      <c r="B85" s="40"/>
      <c r="C85" s="42"/>
      <c r="D85" s="42"/>
      <c r="E85" s="42"/>
      <c r="F85" s="42"/>
      <c r="G85" s="42"/>
    </row>
    <row r="86" ht="24" customHeight="1" spans="1:7">
      <c r="A86" s="43" t="str">
        <f>score_sheet!P12</f>
        <v>SSC/N8452</v>
      </c>
      <c r="B86" s="40"/>
      <c r="C86" s="42"/>
      <c r="D86" s="42"/>
      <c r="E86" s="42"/>
      <c r="F86" s="42"/>
      <c r="G86" s="42"/>
    </row>
    <row r="87" ht="24" customHeight="1" spans="1:7">
      <c r="A87" s="44"/>
      <c r="B87" s="40"/>
      <c r="C87" s="42"/>
      <c r="D87" s="42"/>
      <c r="E87" s="42"/>
      <c r="F87" s="42"/>
      <c r="G87" s="42"/>
    </row>
    <row r="88" ht="24" customHeight="1" spans="1:7">
      <c r="A88" s="44"/>
      <c r="B88" s="40"/>
      <c r="C88" s="42"/>
      <c r="D88" s="42"/>
      <c r="E88" s="42"/>
      <c r="F88" s="42"/>
      <c r="G88" s="42"/>
    </row>
    <row r="89" ht="24" customHeight="1" spans="1:7">
      <c r="A89" s="45"/>
      <c r="B89" s="40"/>
      <c r="C89" s="42"/>
      <c r="D89" s="42"/>
      <c r="E89" s="42"/>
      <c r="F89" s="42"/>
      <c r="G89" s="42"/>
    </row>
    <row r="90" ht="24" customHeight="1" spans="1:7">
      <c r="A90" s="43" t="str">
        <f>score_sheet!R12</f>
        <v>DGT/VSQ/N0102</v>
      </c>
      <c r="B90" s="40"/>
      <c r="C90" s="42"/>
      <c r="D90" s="42"/>
      <c r="E90" s="42"/>
      <c r="F90" s="42"/>
      <c r="G90" s="42"/>
    </row>
    <row r="91" ht="24" customHeight="1" spans="1:7">
      <c r="A91" s="44"/>
      <c r="B91" s="40"/>
      <c r="C91" s="42"/>
      <c r="D91" s="42"/>
      <c r="E91" s="42"/>
      <c r="F91" s="42"/>
      <c r="G91" s="42"/>
    </row>
    <row r="92" ht="24" customHeight="1" spans="1:7">
      <c r="A92" s="44"/>
      <c r="B92" s="40"/>
      <c r="C92" s="42"/>
      <c r="D92" s="42"/>
      <c r="E92" s="42"/>
      <c r="F92" s="42"/>
      <c r="G92" s="42"/>
    </row>
    <row r="93" ht="24" customHeight="1" spans="1:7">
      <c r="A93" s="45"/>
      <c r="B93" s="40"/>
      <c r="C93" s="42"/>
      <c r="D93" s="42"/>
      <c r="E93" s="42"/>
      <c r="F93" s="42"/>
      <c r="G93" s="42"/>
    </row>
    <row r="94" ht="24" customHeight="1" spans="1:7">
      <c r="A94" s="39" t="str">
        <f>score_sheet!T12</f>
        <v>SSC/N8414</v>
      </c>
      <c r="B94" s="40"/>
      <c r="C94" s="42"/>
      <c r="D94" s="42"/>
      <c r="E94" s="42"/>
      <c r="F94" s="42"/>
      <c r="G94" s="42"/>
    </row>
    <row r="95" ht="24" customHeight="1" spans="1:7">
      <c r="A95" s="39"/>
      <c r="B95" s="40"/>
      <c r="C95" s="42"/>
      <c r="D95" s="42"/>
      <c r="E95" s="42"/>
      <c r="F95" s="42"/>
      <c r="G95" s="42"/>
    </row>
    <row r="96" ht="24" customHeight="1" spans="1:7">
      <c r="A96" s="39"/>
      <c r="B96" s="40"/>
      <c r="C96" s="42"/>
      <c r="D96" s="42"/>
      <c r="E96" s="42"/>
      <c r="F96" s="42"/>
      <c r="G96" s="42"/>
    </row>
    <row r="97" ht="24" customHeight="1" spans="1:7">
      <c r="A97" s="39"/>
      <c r="B97" s="40"/>
      <c r="C97" s="42"/>
      <c r="D97" s="42"/>
      <c r="E97" s="42"/>
      <c r="F97" s="42"/>
      <c r="G97" s="42"/>
    </row>
    <row r="98" ht="24" customHeight="1" spans="1:7">
      <c r="A98" s="39" t="str">
        <f>score_sheet!V12</f>
        <v>SSC/N8415</v>
      </c>
      <c r="B98" s="40" t="s">
        <v>67</v>
      </c>
      <c r="C98" s="42" t="s">
        <v>74</v>
      </c>
      <c r="D98" s="42" t="s">
        <v>75</v>
      </c>
      <c r="E98" s="42"/>
      <c r="F98" s="42"/>
      <c r="G98" s="42"/>
    </row>
    <row r="99" ht="24" customHeight="1" spans="1:7">
      <c r="A99" s="39"/>
      <c r="B99" s="40"/>
      <c r="C99" s="42"/>
      <c r="D99" s="42"/>
      <c r="E99" s="42"/>
      <c r="F99" s="42"/>
      <c r="G99" s="42"/>
    </row>
    <row r="100" ht="24" customHeight="1" spans="1:7">
      <c r="A100" s="39"/>
      <c r="B100" s="40"/>
      <c r="C100" s="42"/>
      <c r="D100" s="42"/>
      <c r="E100" s="42"/>
      <c r="F100" s="42"/>
      <c r="G100" s="42"/>
    </row>
    <row r="101" ht="24" customHeight="1" spans="1:7">
      <c r="A101" s="39"/>
      <c r="B101" s="40"/>
      <c r="C101" s="42"/>
      <c r="D101" s="42"/>
      <c r="E101" s="42"/>
      <c r="F101" s="42"/>
      <c r="G101" s="42"/>
    </row>
    <row r="102" ht="24" customHeight="1" spans="1:7">
      <c r="A102" s="43" t="str">
        <f>score_sheet!X12</f>
        <v>SSC/N8416</v>
      </c>
      <c r="B102" s="40"/>
      <c r="C102" s="42"/>
      <c r="D102" s="42"/>
      <c r="E102" s="42"/>
      <c r="F102" s="42"/>
      <c r="G102" s="42"/>
    </row>
    <row r="103" ht="24" customHeight="1" spans="1:7">
      <c r="A103" s="44"/>
      <c r="B103" s="40"/>
      <c r="C103" s="42"/>
      <c r="D103" s="42"/>
      <c r="E103" s="42"/>
      <c r="F103" s="42"/>
      <c r="G103" s="42"/>
    </row>
    <row r="104" ht="24" customHeight="1" spans="1:7">
      <c r="A104" s="44"/>
      <c r="B104" s="40"/>
      <c r="C104" s="42"/>
      <c r="D104" s="42"/>
      <c r="E104" s="42"/>
      <c r="F104" s="42"/>
      <c r="G104" s="42"/>
    </row>
    <row r="105" ht="24" customHeight="1" spans="1:7">
      <c r="A105" s="45"/>
      <c r="B105" s="40"/>
      <c r="C105" s="42"/>
      <c r="D105" s="42"/>
      <c r="E105" s="42"/>
      <c r="F105" s="42"/>
      <c r="G105" s="42"/>
    </row>
    <row r="106" ht="27" customHeight="1" spans="1:7">
      <c r="A106" s="47" t="s">
        <v>76</v>
      </c>
      <c r="B106" s="48"/>
      <c r="C106" s="48"/>
      <c r="D106" s="48"/>
      <c r="E106" s="48"/>
      <c r="F106" s="48"/>
      <c r="G106" s="49"/>
    </row>
    <row r="107" ht="24" customHeight="1" spans="1:7">
      <c r="A107" s="39" t="str">
        <f>score_sheet!F12</f>
        <v>SSC/N8417</v>
      </c>
      <c r="B107" s="40" t="s">
        <v>73</v>
      </c>
      <c r="C107" s="40" t="s">
        <v>64</v>
      </c>
      <c r="D107" s="40" t="s">
        <v>65</v>
      </c>
      <c r="E107" s="40" t="s">
        <v>77</v>
      </c>
      <c r="F107" s="40" t="s">
        <v>78</v>
      </c>
      <c r="G107" s="40" t="s">
        <v>72</v>
      </c>
    </row>
    <row r="108" ht="24" customHeight="1" spans="1:7">
      <c r="A108" s="39"/>
      <c r="B108" s="40" t="s">
        <v>66</v>
      </c>
      <c r="C108" s="40" t="s">
        <v>67</v>
      </c>
      <c r="D108" s="40" t="s">
        <v>59</v>
      </c>
      <c r="E108" s="40"/>
      <c r="F108" s="40"/>
      <c r="G108" s="40"/>
    </row>
    <row r="109" ht="24" customHeight="1" spans="1:7">
      <c r="A109" s="39"/>
      <c r="B109" s="40"/>
      <c r="C109" s="40"/>
      <c r="D109" s="40"/>
      <c r="E109" s="40"/>
      <c r="F109" s="40"/>
      <c r="G109" s="40"/>
    </row>
    <row r="110" ht="24" customHeight="1" spans="1:7">
      <c r="A110" s="39"/>
      <c r="B110" s="41"/>
      <c r="C110" s="41"/>
      <c r="D110" s="41"/>
      <c r="E110" s="41"/>
      <c r="F110" s="41"/>
      <c r="G110" s="41"/>
    </row>
    <row r="111" ht="24" customHeight="1" spans="1:7">
      <c r="A111" s="39" t="str">
        <f>score_sheet!H12</f>
        <v>SSC/N8451</v>
      </c>
      <c r="B111" s="40" t="s">
        <v>73</v>
      </c>
      <c r="C111" s="42" t="s">
        <v>77</v>
      </c>
      <c r="D111" s="42" t="s">
        <v>78</v>
      </c>
      <c r="E111" s="42" t="s">
        <v>72</v>
      </c>
      <c r="F111" s="42"/>
      <c r="G111" s="42"/>
    </row>
    <row r="112" ht="24" customHeight="1" spans="1:7">
      <c r="A112" s="39"/>
      <c r="B112" s="40"/>
      <c r="C112" s="42"/>
      <c r="D112" s="42"/>
      <c r="E112" s="42"/>
      <c r="F112" s="42"/>
      <c r="G112" s="42"/>
    </row>
    <row r="113" ht="24" customHeight="1" spans="1:7">
      <c r="A113" s="39"/>
      <c r="B113" s="40"/>
      <c r="C113" s="42"/>
      <c r="D113" s="42"/>
      <c r="E113" s="42"/>
      <c r="F113" s="42"/>
      <c r="G113" s="42"/>
    </row>
    <row r="114" ht="24" customHeight="1" spans="1:7">
      <c r="A114" s="39"/>
      <c r="B114" s="40"/>
      <c r="C114" s="42"/>
      <c r="D114" s="42"/>
      <c r="E114" s="42"/>
      <c r="F114" s="42"/>
      <c r="G114" s="42"/>
    </row>
    <row r="115" ht="24" customHeight="1" spans="1:7">
      <c r="A115" s="39" t="str">
        <f>score_sheet!J12</f>
        <v>SSC/N8125</v>
      </c>
      <c r="B115" s="40" t="s">
        <v>73</v>
      </c>
      <c r="C115" s="42" t="s">
        <v>64</v>
      </c>
      <c r="D115" s="42" t="s">
        <v>65</v>
      </c>
      <c r="E115" s="42" t="s">
        <v>77</v>
      </c>
      <c r="F115" s="42" t="s">
        <v>78</v>
      </c>
      <c r="G115" s="42" t="s">
        <v>72</v>
      </c>
    </row>
    <row r="116" ht="24" customHeight="1" spans="1:7">
      <c r="A116" s="39"/>
      <c r="B116" s="40" t="s">
        <v>66</v>
      </c>
      <c r="C116" s="42" t="s">
        <v>67</v>
      </c>
      <c r="D116" s="42" t="s">
        <v>59</v>
      </c>
      <c r="E116" s="42" t="s">
        <v>74</v>
      </c>
      <c r="F116" s="42" t="s">
        <v>75</v>
      </c>
      <c r="G116" s="42" t="s">
        <v>60</v>
      </c>
    </row>
    <row r="117" ht="24" customHeight="1" spans="1:7">
      <c r="A117" s="39"/>
      <c r="B117" s="40" t="s">
        <v>61</v>
      </c>
      <c r="C117" s="42"/>
      <c r="D117" s="42"/>
      <c r="E117" s="42"/>
      <c r="F117" s="42"/>
      <c r="G117" s="42"/>
    </row>
    <row r="118" ht="24" customHeight="1" spans="1:7">
      <c r="A118" s="39"/>
      <c r="B118" s="40"/>
      <c r="C118" s="42"/>
      <c r="D118" s="42"/>
      <c r="E118" s="42"/>
      <c r="F118" s="42"/>
      <c r="G118" s="42"/>
    </row>
    <row r="119" ht="24" customHeight="1" spans="1:7">
      <c r="A119" s="39" t="str">
        <f>score_sheet!L12</f>
        <v>SSC/N8418</v>
      </c>
      <c r="B119" s="40" t="s">
        <v>73</v>
      </c>
      <c r="C119" s="42" t="s">
        <v>64</v>
      </c>
      <c r="D119" s="42" t="s">
        <v>65</v>
      </c>
      <c r="E119" s="42" t="s">
        <v>77</v>
      </c>
      <c r="F119" s="42" t="s">
        <v>78</v>
      </c>
      <c r="G119" s="42" t="s">
        <v>67</v>
      </c>
    </row>
    <row r="120" ht="24" customHeight="1" spans="1:7">
      <c r="A120" s="39"/>
      <c r="B120" s="40" t="s">
        <v>59</v>
      </c>
      <c r="C120" s="42" t="s">
        <v>74</v>
      </c>
      <c r="D120" s="42" t="s">
        <v>75</v>
      </c>
      <c r="E120" s="42" t="s">
        <v>60</v>
      </c>
      <c r="F120" s="42" t="s">
        <v>61</v>
      </c>
      <c r="G120" s="42" t="s">
        <v>62</v>
      </c>
    </row>
    <row r="121" ht="24" customHeight="1" spans="1:7">
      <c r="A121" s="39"/>
      <c r="B121" s="40" t="s">
        <v>69</v>
      </c>
      <c r="C121" s="42" t="s">
        <v>70</v>
      </c>
      <c r="D121" s="42"/>
      <c r="E121" s="42"/>
      <c r="F121" s="42"/>
      <c r="G121" s="42"/>
    </row>
    <row r="122" ht="24" customHeight="1" spans="1:7">
      <c r="A122" s="39"/>
      <c r="B122" s="40"/>
      <c r="C122" s="42"/>
      <c r="D122" s="42"/>
      <c r="E122" s="42"/>
      <c r="F122" s="42"/>
      <c r="G122" s="42"/>
    </row>
    <row r="123" ht="24" customHeight="1" spans="1:7">
      <c r="A123" s="43" t="str">
        <f>score_sheet!N12</f>
        <v>SSC/N8323</v>
      </c>
      <c r="B123" s="40" t="s">
        <v>65</v>
      </c>
      <c r="C123" s="42" t="s">
        <v>77</v>
      </c>
      <c r="D123" s="42" t="s">
        <v>78</v>
      </c>
      <c r="E123" s="42" t="s">
        <v>72</v>
      </c>
      <c r="F123" s="42" t="s">
        <v>66</v>
      </c>
      <c r="G123" s="42" t="s">
        <v>67</v>
      </c>
    </row>
    <row r="124" ht="24" customHeight="1" spans="1:7">
      <c r="A124" s="44"/>
      <c r="B124" s="40"/>
      <c r="C124" s="42"/>
      <c r="D124" s="42"/>
      <c r="E124" s="42"/>
      <c r="F124" s="42"/>
      <c r="G124" s="42"/>
    </row>
    <row r="125" ht="24" customHeight="1" spans="1:7">
      <c r="A125" s="44"/>
      <c r="B125" s="40"/>
      <c r="C125" s="42"/>
      <c r="D125" s="42"/>
      <c r="E125" s="42"/>
      <c r="F125" s="42"/>
      <c r="G125" s="42"/>
    </row>
    <row r="126" ht="24" customHeight="1" spans="1:7">
      <c r="A126" s="45"/>
      <c r="B126" s="40"/>
      <c r="C126" s="42"/>
      <c r="D126" s="42"/>
      <c r="E126" s="42"/>
      <c r="F126" s="42"/>
      <c r="G126" s="42"/>
    </row>
    <row r="127" ht="24" customHeight="1" spans="1:7">
      <c r="A127" s="43" t="str">
        <f>score_sheet!P12</f>
        <v>SSC/N8452</v>
      </c>
      <c r="B127" s="40" t="s">
        <v>73</v>
      </c>
      <c r="C127" s="42" t="s">
        <v>64</v>
      </c>
      <c r="D127" s="42" t="s">
        <v>65</v>
      </c>
      <c r="E127" s="42" t="s">
        <v>77</v>
      </c>
      <c r="F127" s="42" t="s">
        <v>78</v>
      </c>
      <c r="G127" s="42" t="s">
        <v>72</v>
      </c>
    </row>
    <row r="128" ht="24" customHeight="1" spans="1:7">
      <c r="A128" s="44"/>
      <c r="B128" s="40" t="s">
        <v>66</v>
      </c>
      <c r="C128" s="42" t="s">
        <v>67</v>
      </c>
      <c r="D128" s="42" t="s">
        <v>59</v>
      </c>
      <c r="E128" s="42" t="s">
        <v>74</v>
      </c>
      <c r="F128" s="42" t="s">
        <v>75</v>
      </c>
      <c r="G128" s="42"/>
    </row>
    <row r="129" ht="24" customHeight="1" spans="1:7">
      <c r="A129" s="44"/>
      <c r="B129" s="40"/>
      <c r="C129" s="42"/>
      <c r="D129" s="42"/>
      <c r="E129" s="42"/>
      <c r="F129" s="42"/>
      <c r="G129" s="42"/>
    </row>
    <row r="130" ht="24" customHeight="1" spans="1:7">
      <c r="A130" s="45"/>
      <c r="B130" s="40"/>
      <c r="C130" s="42"/>
      <c r="D130" s="42"/>
      <c r="E130" s="42"/>
      <c r="F130" s="42"/>
      <c r="G130" s="42"/>
    </row>
    <row r="131" ht="24" customHeight="1" spans="1:7">
      <c r="A131" s="43" t="str">
        <f>score_sheet!R12</f>
        <v>DGT/VSQ/N0102</v>
      </c>
      <c r="B131" s="40" t="s">
        <v>73</v>
      </c>
      <c r="C131" s="42" t="s">
        <v>64</v>
      </c>
      <c r="D131" s="42" t="s">
        <v>65</v>
      </c>
      <c r="E131" s="42" t="s">
        <v>77</v>
      </c>
      <c r="F131" s="42" t="s">
        <v>78</v>
      </c>
      <c r="G131" s="42" t="s">
        <v>72</v>
      </c>
    </row>
    <row r="132" ht="24" customHeight="1" spans="1:7">
      <c r="A132" s="44"/>
      <c r="B132" s="40" t="s">
        <v>66</v>
      </c>
      <c r="C132" s="42" t="s">
        <v>67</v>
      </c>
      <c r="D132" s="42" t="s">
        <v>59</v>
      </c>
      <c r="E132" s="42" t="s">
        <v>74</v>
      </c>
      <c r="F132" s="42" t="s">
        <v>75</v>
      </c>
      <c r="G132" s="42" t="s">
        <v>60</v>
      </c>
    </row>
    <row r="133" ht="24" customHeight="1" spans="1:7">
      <c r="A133" s="44"/>
      <c r="B133" s="40"/>
      <c r="C133" s="42"/>
      <c r="D133" s="42"/>
      <c r="E133" s="42"/>
      <c r="F133" s="42"/>
      <c r="G133" s="42"/>
    </row>
    <row r="134" ht="24" customHeight="1" spans="1:7">
      <c r="A134" s="45"/>
      <c r="B134" s="40"/>
      <c r="C134" s="42"/>
      <c r="D134" s="42"/>
      <c r="E134" s="42"/>
      <c r="F134" s="42"/>
      <c r="G134" s="42"/>
    </row>
    <row r="135" ht="24" customHeight="1" spans="1:7">
      <c r="A135" s="44" t="str">
        <f>score_sheet!T12</f>
        <v>SSC/N8414</v>
      </c>
      <c r="B135" s="40" t="s">
        <v>73</v>
      </c>
      <c r="C135" s="42" t="s">
        <v>64</v>
      </c>
      <c r="D135" s="42" t="s">
        <v>65</v>
      </c>
      <c r="E135" s="42" t="s">
        <v>77</v>
      </c>
      <c r="F135" s="42" t="s">
        <v>78</v>
      </c>
      <c r="G135" s="42" t="s">
        <v>72</v>
      </c>
    </row>
    <row r="136" ht="24" customHeight="1" spans="1:7">
      <c r="A136" s="44"/>
      <c r="B136" s="40" t="s">
        <v>66</v>
      </c>
      <c r="C136" s="42" t="s">
        <v>67</v>
      </c>
      <c r="D136" s="42" t="s">
        <v>59</v>
      </c>
      <c r="E136" s="42" t="s">
        <v>74</v>
      </c>
      <c r="F136" s="42" t="s">
        <v>75</v>
      </c>
      <c r="G136" s="42" t="s">
        <v>60</v>
      </c>
    </row>
    <row r="137" ht="24" customHeight="1" spans="1:7">
      <c r="A137" s="44"/>
      <c r="B137" s="40" t="s">
        <v>61</v>
      </c>
      <c r="C137" s="42" t="s">
        <v>62</v>
      </c>
      <c r="D137" s="42"/>
      <c r="E137" s="42"/>
      <c r="F137" s="42"/>
      <c r="G137" s="42"/>
    </row>
    <row r="138" ht="24" customHeight="1" spans="1:7">
      <c r="A138" s="44"/>
      <c r="B138" s="40"/>
      <c r="C138" s="42"/>
      <c r="D138" s="42"/>
      <c r="E138" s="42"/>
      <c r="F138" s="42"/>
      <c r="G138" s="42"/>
    </row>
    <row r="139" ht="24" customHeight="1" spans="1:7">
      <c r="A139" s="43" t="str">
        <f>score_sheet!V12</f>
        <v>SSC/N8415</v>
      </c>
      <c r="B139" s="40" t="s">
        <v>73</v>
      </c>
      <c r="C139" s="42" t="s">
        <v>64</v>
      </c>
      <c r="D139" s="42" t="s">
        <v>65</v>
      </c>
      <c r="E139" s="42" t="s">
        <v>77</v>
      </c>
      <c r="F139" s="42" t="s">
        <v>78</v>
      </c>
      <c r="G139" s="42" t="s">
        <v>72</v>
      </c>
    </row>
    <row r="140" ht="24" customHeight="1" spans="1:7">
      <c r="A140" s="44"/>
      <c r="B140" s="40" t="s">
        <v>66</v>
      </c>
      <c r="C140" s="42" t="s">
        <v>68</v>
      </c>
      <c r="D140" s="42" t="s">
        <v>69</v>
      </c>
      <c r="E140" s="42" t="s">
        <v>70</v>
      </c>
      <c r="F140" s="42" t="s">
        <v>58</v>
      </c>
      <c r="G140" s="42" t="s">
        <v>71</v>
      </c>
    </row>
    <row r="141" ht="24" customHeight="1" spans="1:7">
      <c r="A141" s="44"/>
      <c r="B141" s="40"/>
      <c r="C141" s="42"/>
      <c r="D141" s="42"/>
      <c r="E141" s="42"/>
      <c r="F141" s="42"/>
      <c r="G141" s="42"/>
    </row>
    <row r="142" ht="24" customHeight="1" spans="1:7">
      <c r="A142" s="45"/>
      <c r="B142" s="40"/>
      <c r="C142" s="42"/>
      <c r="D142" s="42"/>
      <c r="E142" s="42"/>
      <c r="F142" s="42"/>
      <c r="G142" s="42"/>
    </row>
    <row r="143" ht="24" customHeight="1" spans="1:7">
      <c r="A143" s="43" t="str">
        <f>score_sheet!X12</f>
        <v>SSC/N8416</v>
      </c>
      <c r="B143" s="40" t="s">
        <v>73</v>
      </c>
      <c r="C143" s="42" t="s">
        <v>64</v>
      </c>
      <c r="D143" s="42" t="s">
        <v>65</v>
      </c>
      <c r="E143" s="42" t="s">
        <v>77</v>
      </c>
      <c r="F143" s="42" t="s">
        <v>78</v>
      </c>
      <c r="G143" s="42" t="s">
        <v>72</v>
      </c>
    </row>
    <row r="144" ht="24" customHeight="1" spans="1:7">
      <c r="A144" s="44"/>
      <c r="B144" s="40" t="s">
        <v>66</v>
      </c>
      <c r="C144" s="42" t="s">
        <v>67</v>
      </c>
      <c r="D144" s="42" t="s">
        <v>59</v>
      </c>
      <c r="E144" s="42" t="s">
        <v>74</v>
      </c>
      <c r="F144" s="42" t="s">
        <v>75</v>
      </c>
      <c r="G144" s="42" t="s">
        <v>60</v>
      </c>
    </row>
    <row r="145" ht="24" customHeight="1" spans="1:7">
      <c r="A145" s="44"/>
      <c r="B145" s="40" t="s">
        <v>61</v>
      </c>
      <c r="C145" s="42" t="s">
        <v>62</v>
      </c>
      <c r="D145" s="42" t="s">
        <v>68</v>
      </c>
      <c r="E145" s="42"/>
      <c r="F145" s="42"/>
      <c r="G145" s="42"/>
    </row>
    <row r="146" ht="24" customHeight="1" spans="1:7">
      <c r="A146" s="45"/>
      <c r="B146" s="40"/>
      <c r="C146" s="42"/>
      <c r="D146" s="42"/>
      <c r="E146" s="42"/>
      <c r="F146" s="42"/>
      <c r="G146" s="42"/>
    </row>
  </sheetData>
  <mergeCells count="43">
    <mergeCell ref="A1:G1"/>
    <mergeCell ref="A2:G2"/>
    <mergeCell ref="B3:G3"/>
    <mergeCell ref="B4:C4"/>
    <mergeCell ref="E4:G4"/>
    <mergeCell ref="B5:G5"/>
    <mergeCell ref="C6:G6"/>
    <mergeCell ref="A11:G11"/>
    <mergeCell ref="A23:G23"/>
    <mergeCell ref="A65:G65"/>
    <mergeCell ref="A106:G106"/>
    <mergeCell ref="A7:A10"/>
    <mergeCell ref="A25:A28"/>
    <mergeCell ref="A29:A32"/>
    <mergeCell ref="A33:A36"/>
    <mergeCell ref="A37:A40"/>
    <mergeCell ref="A41:A44"/>
    <mergeCell ref="A45:A48"/>
    <mergeCell ref="A49:A52"/>
    <mergeCell ref="A53:A56"/>
    <mergeCell ref="A57:A60"/>
    <mergeCell ref="A61:A64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7:A110"/>
    <mergeCell ref="A111:A114"/>
    <mergeCell ref="A115:A118"/>
    <mergeCell ref="A119:A122"/>
    <mergeCell ref="A123:A126"/>
    <mergeCell ref="A127:A130"/>
    <mergeCell ref="A131:A134"/>
    <mergeCell ref="A135:A138"/>
    <mergeCell ref="A139:A142"/>
    <mergeCell ref="A143:A146"/>
    <mergeCell ref="D7:E10"/>
  </mergeCells>
  <pageMargins left="0.7" right="0.7" top="0.75" bottom="0.75" header="0.3" footer="0.3"/>
  <pageSetup paperSize="1" orientation="portrait"/>
  <headerFooter/>
  <ignoredErrors>
    <ignoredError sqref="A9:G32 A33 C33:G33 A34:G56 D8:G8 D8:G8 A8:B8 A8:B8 A5:G7 A5:G7 A62:G69 A70 F70:G70 A71:G73 A74 G74 A75:G77 A78 E78:G78 A79:G81 A82 D82:G82 A83:G97 B61:G61 B61:G61 A103:G106 A107:A108 E108:G108 A109:G110 A111 F111:G111 A112:G114 A115:A117 C117:G117 A118:G118 A119:A121 D121:G121 A122:G122 A123 A124:G126 A127:A128 G128 A129:G130 A131:A132 A133:G134 A135:A137 D137:G137 A138:G138 B102:G102 B102:G102 A144:A145 E145:G145 A146:G146 F4:G4 A4:D4 A1:G3" evalError="1" emptyCellReference="1"/>
    <ignoredError sqref="A57 F57:G57 A98 E98:G98 A139:A140 A141:G142 A5:G8 A58:G61 A99:G102 A143" emptyCellReferenc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1"/>
  <sheetViews>
    <sheetView showGridLines="0" workbookViewId="0">
      <selection activeCell="B2" sqref="B2"/>
    </sheetView>
  </sheetViews>
  <sheetFormatPr defaultColWidth="9" defaultRowHeight="15" outlineLevelCol="1"/>
  <sheetData>
    <row r="1" spans="1:2">
      <c r="A1" s="1" t="s">
        <v>39</v>
      </c>
      <c r="B1" s="70" t="str">
        <f>score_sheet!B9</f>
        <v>840320260872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score_sheet</vt:lpstr>
      <vt:lpstr>Batch Analysis - Tabular</vt:lpstr>
      <vt:lpstr>Batch Analysis - Graph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BFSI</cp:lastModifiedBy>
  <dcterms:created xsi:type="dcterms:W3CDTF">2015-05-01T13:34:00Z</dcterms:created>
  <dcterms:modified xsi:type="dcterms:W3CDTF">2026-08-08T11:03:04Z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D77CEA52328C443A9445506570FBE44F_13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