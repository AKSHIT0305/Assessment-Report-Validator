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nu\Desktop\Assessment and Design team\Analitics\new analytics work started on 19aug26\"/>
    </mc:Choice>
  </mc:AlternateContent>
  <xr:revisionPtr revIDLastSave="0" documentId="13_ncr:1_{09ABA1B5-B114-4CAE-B3E8-E9A07C3F01C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core_sheet" sheetId="1" r:id="rId1"/>
    <sheet name="Batch Analysis - Tabular" sheetId="2" r:id="rId2"/>
    <sheet name="Batch Analysis - Graph" sheetId="3" r:id="rId3"/>
  </sheets>
  <definedNames>
    <definedName name="_xlnm._FilterDatabase" localSheetId="0" hidden="1">score_sheet!$A$13:$R$25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3" l="1"/>
  <c r="G17" i="2"/>
  <c r="F17" i="2"/>
  <c r="E17" i="2"/>
  <c r="D17" i="2"/>
  <c r="C17" i="2"/>
  <c r="G16" i="2"/>
  <c r="F16" i="2"/>
  <c r="E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8" i="2"/>
  <c r="F8" i="2"/>
  <c r="B6" i="2"/>
  <c r="B5" i="2"/>
  <c r="B4" i="2"/>
  <c r="B3" i="2"/>
  <c r="R25" i="1"/>
  <c r="Q25" i="1" s="1"/>
  <c r="G10" i="2" s="1"/>
  <c r="P25" i="1"/>
  <c r="O25" i="1"/>
  <c r="M25" i="1"/>
  <c r="K25" i="1"/>
  <c r="I25" i="1"/>
  <c r="G25" i="1"/>
  <c r="R24" i="1"/>
  <c r="Q24" i="1" s="1"/>
  <c r="P24" i="1"/>
  <c r="O24" i="1"/>
  <c r="M24" i="1"/>
  <c r="K24" i="1"/>
  <c r="I24" i="1"/>
  <c r="G24" i="1"/>
  <c r="R23" i="1"/>
  <c r="Q23" i="1" s="1"/>
  <c r="P23" i="1"/>
  <c r="O23" i="1"/>
  <c r="M23" i="1"/>
  <c r="K23" i="1"/>
  <c r="I23" i="1"/>
  <c r="G23" i="1"/>
  <c r="R22" i="1"/>
  <c r="Q22" i="1" s="1"/>
  <c r="P22" i="1"/>
  <c r="O22" i="1"/>
  <c r="M22" i="1"/>
  <c r="K22" i="1"/>
  <c r="I22" i="1"/>
  <c r="G22" i="1"/>
  <c r="R21" i="1"/>
  <c r="Q21" i="1" s="1"/>
  <c r="P21" i="1"/>
  <c r="O21" i="1"/>
  <c r="M21" i="1"/>
  <c r="K21" i="1"/>
  <c r="I21" i="1"/>
  <c r="G21" i="1"/>
  <c r="R20" i="1"/>
  <c r="Q20" i="1" s="1"/>
  <c r="P20" i="1"/>
  <c r="O20" i="1"/>
  <c r="M20" i="1"/>
  <c r="K20" i="1"/>
  <c r="I20" i="1"/>
  <c r="G20" i="1"/>
  <c r="R19" i="1"/>
  <c r="Q19" i="1" s="1"/>
  <c r="P19" i="1"/>
  <c r="O19" i="1"/>
  <c r="M19" i="1"/>
  <c r="K19" i="1"/>
  <c r="I19" i="1"/>
  <c r="G19" i="1"/>
  <c r="R18" i="1"/>
  <c r="Q18" i="1" s="1"/>
  <c r="P18" i="1"/>
  <c r="O18" i="1"/>
  <c r="M18" i="1"/>
  <c r="K18" i="1"/>
  <c r="I18" i="1"/>
  <c r="G18" i="1"/>
  <c r="R17" i="1"/>
  <c r="Q17" i="1" s="1"/>
  <c r="P17" i="1"/>
  <c r="O17" i="1"/>
  <c r="M17" i="1"/>
  <c r="K17" i="1"/>
  <c r="I17" i="1"/>
  <c r="G17" i="1"/>
  <c r="R16" i="1"/>
  <c r="Q16" i="1" s="1"/>
  <c r="P16" i="1"/>
  <c r="O16" i="1"/>
  <c r="M16" i="1"/>
  <c r="K16" i="1"/>
  <c r="I16" i="1"/>
  <c r="G16" i="1"/>
  <c r="R15" i="1"/>
  <c r="Q15" i="1" s="1"/>
  <c r="P15" i="1"/>
  <c r="O15" i="1"/>
  <c r="M15" i="1"/>
  <c r="K15" i="1"/>
  <c r="I15" i="1"/>
  <c r="G15" i="1"/>
  <c r="R14" i="1"/>
  <c r="Q14" i="1" s="1"/>
  <c r="P14" i="1"/>
  <c r="O14" i="1"/>
  <c r="M14" i="1"/>
  <c r="K14" i="1"/>
  <c r="I14" i="1"/>
  <c r="G14" i="1"/>
  <c r="C10" i="2" l="1"/>
  <c r="D16" i="2"/>
  <c r="C9" i="2"/>
  <c r="F10" i="2"/>
  <c r="C8" i="2"/>
  <c r="B15" i="2" l="1"/>
  <c r="B16" i="2"/>
  <c r="B17" i="2"/>
  <c r="B13" i="2"/>
  <c r="B14" i="2"/>
</calcChain>
</file>

<file path=xl/sharedStrings.xml><?xml version="1.0" encoding="utf-8"?>
<sst xmlns="http://schemas.openxmlformats.org/spreadsheetml/2006/main" count="163" uniqueCount="89">
  <si>
    <t>Assessment Agency Name</t>
  </si>
  <si>
    <t>Ginger Webs Pvt. Ltd.</t>
  </si>
  <si>
    <t>Training Provider Name</t>
  </si>
  <si>
    <t>Kamakhya Pemton College</t>
  </si>
  <si>
    <t>Qualification Pack Name/Job Role</t>
  </si>
  <si>
    <t>AI - Solution Architect</t>
  </si>
  <si>
    <t>Qualification Code</t>
  </si>
  <si>
    <t>SSC/Q8108</t>
  </si>
  <si>
    <t>Assessor Name/AR ID</t>
  </si>
  <si>
    <t>AR79570 &amp; Deepak choudhari</t>
  </si>
  <si>
    <t>Scheme Name</t>
  </si>
  <si>
    <t>B.VOC</t>
  </si>
  <si>
    <t>State</t>
  </si>
  <si>
    <t>Manipur</t>
  </si>
  <si>
    <t>City</t>
  </si>
  <si>
    <t>Imphal West</t>
  </si>
  <si>
    <t>Center ID</t>
  </si>
  <si>
    <t>NA</t>
  </si>
  <si>
    <t>Batch ID</t>
  </si>
  <si>
    <t>BvoC810820269837</t>
  </si>
  <si>
    <t>Trainee Name</t>
  </si>
  <si>
    <t>Candidate ID</t>
  </si>
  <si>
    <t>Gender</t>
  </si>
  <si>
    <t>Assessment Date</t>
  </si>
  <si>
    <t>SSC/N8113 - Score</t>
  </si>
  <si>
    <t>Pass/Fail</t>
  </si>
  <si>
    <t>SSC/N8114 - Score</t>
  </si>
  <si>
    <t>SSC/N9009 - Score</t>
  </si>
  <si>
    <t>SSC/N9014 - Score</t>
  </si>
  <si>
    <t>DGT/VSQ/N0102 - Score</t>
  </si>
  <si>
    <t>Total</t>
  </si>
  <si>
    <t>Result of QP (Pass/Fail)</t>
  </si>
  <si>
    <t>Overall %</t>
  </si>
  <si>
    <t>Pechimayum Geetchandra Meitei</t>
  </si>
  <si>
    <t>M</t>
  </si>
  <si>
    <t>Thokchom Polen</t>
  </si>
  <si>
    <t>Nongmaithem Chitrajit Meetei</t>
  </si>
  <si>
    <t>Raja Malik Bhuiya</t>
  </si>
  <si>
    <t>Moirangthem Subashbhatt Singh</t>
  </si>
  <si>
    <t>Naorem Henry Singh</t>
  </si>
  <si>
    <t>Pukhrambam Pentagon Singh</t>
  </si>
  <si>
    <t>Naorem Arunkumar Singh</t>
  </si>
  <si>
    <t>Robert Sharma Bachaspatimayum</t>
  </si>
  <si>
    <t>Gaikaolung Kamei</t>
  </si>
  <si>
    <t>Zamir Khan</t>
  </si>
  <si>
    <t>Oinam Pinky Devi</t>
  </si>
  <si>
    <t>F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</si>
  <si>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</si>
  <si>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</si>
  <si>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</si>
  <si>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</si>
  <si>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</si>
  <si>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</si>
  <si>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</si>
  <si>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Gender Wise Analysis</t>
  </si>
  <si>
    <t>Male</t>
  </si>
  <si>
    <t>Female</t>
  </si>
  <si>
    <t>Enrolled</t>
  </si>
  <si>
    <t>Appeared</t>
  </si>
  <si>
    <t>Passed</t>
  </si>
  <si>
    <t>NOS SUMMARY</t>
  </si>
  <si>
    <t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</si>
  <si>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</si>
  <si>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</si>
  <si>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</si>
  <si>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</si>
  <si>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</si>
  <si>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SSC/N8113 </t>
  </si>
  <si>
    <t>SSC/N8114</t>
  </si>
  <si>
    <t>SSC/N9009</t>
  </si>
  <si>
    <t>SSC/N9014</t>
  </si>
  <si>
    <t>DGT/VSQ/N0102</t>
  </si>
  <si>
    <t>WEAK PCs (AVERAGE SCORE LESS THAN 50%)</t>
  </si>
  <si>
    <t>PC1</t>
  </si>
  <si>
    <t>PC5</t>
  </si>
  <si>
    <t>PC14</t>
  </si>
  <si>
    <t>PC15</t>
  </si>
  <si>
    <t>PC4</t>
  </si>
  <si>
    <t>PC6</t>
  </si>
  <si>
    <t>PC12</t>
  </si>
  <si>
    <t>Moderately weak PCs (AVERAGE SCORE BETWEEN 50-70%)</t>
  </si>
  <si>
    <t>PC9</t>
  </si>
  <si>
    <t>PC2</t>
  </si>
  <si>
    <t>PC10</t>
  </si>
  <si>
    <t>STRONG PCs (AVERAGE SCORE MORE THAN 70%)</t>
  </si>
  <si>
    <t>PC3</t>
  </si>
  <si>
    <t>PC7</t>
  </si>
  <si>
    <t>PC8</t>
  </si>
  <si>
    <t>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</si>
</sst>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409]dd\-mmm\-yy;@"/>
  </numFmts>
  <fonts count="7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Border="0" applyProtection="0"/>
  </cellStyleXfs>
  <cellXfs count="4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/>
    </xf>
    <xf numFmtId="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3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2" fontId="3" fillId="0" borderId="1" xfId="1" applyNumberFormat="1" applyFont="1" applyBorder="1" applyAlignment="1" applyProtection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1" xfId="0" applyBorder="1"/>
    <xf numFmtId="0" fontId="5" fillId="0" borderId="0" xfId="0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D-4A72-A526-6174E641C7F6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D-4A72-A526-6174E641C7F6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D-4A72-A526-6174E641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46158"/>
        <c:axId val="14262386"/>
      </c:barChart>
      <c:catAx>
        <c:axId val="744461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62386"/>
        <c:crosses val="autoZero"/>
        <c:auto val="1"/>
        <c:lblAlgn val="ctr"/>
        <c:lblOffset val="100"/>
        <c:noMultiLvlLbl val="0"/>
      </c:catAx>
      <c:valAx>
        <c:axId val="1426238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44461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77758587603101E-2"/>
          <c:y val="0.12841051314142701"/>
          <c:w val="0.90529648819804298"/>
          <c:h val="0.55219023779724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SSC/N8113 </c:v>
                </c:pt>
                <c:pt idx="1">
                  <c:v>SSC/N8114</c:v>
                </c:pt>
                <c:pt idx="2">
                  <c:v>SSC/N9009</c:v>
                </c:pt>
                <c:pt idx="3">
                  <c:v>SSC/N9014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83.333333333333343</c:v>
                </c:pt>
                <c:pt idx="1">
                  <c:v>83.333333333333343</c:v>
                </c:pt>
                <c:pt idx="2">
                  <c:v>83.333333333333343</c:v>
                </c:pt>
                <c:pt idx="3">
                  <c:v>83.333333333333343</c:v>
                </c:pt>
                <c:pt idx="4">
                  <c:v>83.333333333333343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EC2-8052-4F6480A07372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SSC/N8113 </c:v>
                </c:pt>
                <c:pt idx="1">
                  <c:v>SSC/N8114</c:v>
                </c:pt>
                <c:pt idx="2">
                  <c:v>SSC/N9009</c:v>
                </c:pt>
                <c:pt idx="3">
                  <c:v>SSC/N9014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61.083333333333336</c:v>
                </c:pt>
                <c:pt idx="1">
                  <c:v>74.166666666666671</c:v>
                </c:pt>
                <c:pt idx="2">
                  <c:v>72.083333333333329</c:v>
                </c:pt>
                <c:pt idx="3">
                  <c:v>76.458333333333329</c:v>
                </c:pt>
                <c:pt idx="4">
                  <c:v>35.916666666666664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F-4EC2-8052-4F6480A07372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SSC/N8113 </c:v>
                </c:pt>
                <c:pt idx="1">
                  <c:v>SSC/N8114</c:v>
                </c:pt>
                <c:pt idx="2">
                  <c:v>SSC/N9009</c:v>
                </c:pt>
                <c:pt idx="3">
                  <c:v>SSC/N9014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27</c:v>
                </c:pt>
                <c:pt idx="1">
                  <c:v>15</c:v>
                </c:pt>
                <c:pt idx="2">
                  <c:v>35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F-4EC2-8052-4F6480A07372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9CF-4EC2-8052-4F6480A07372}"/>
              </c:ext>
            </c:extLst>
          </c:dPt>
          <c:dLbls>
            <c:dLbl>
              <c:idx val="0"/>
              <c:layout>
                <c:manualLayout>
                  <c:x val="0"/>
                  <c:y val="8.8300220750551894E-3"/>
                </c:manualLayout>
              </c:layout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CF-4EC2-8052-4F6480A073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SSC/N8113 </c:v>
                </c:pt>
                <c:pt idx="1">
                  <c:v>SSC/N8114</c:v>
                </c:pt>
                <c:pt idx="2">
                  <c:v>SSC/N9009</c:v>
                </c:pt>
                <c:pt idx="3">
                  <c:v>SSC/N9014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83</c:v>
                </c:pt>
                <c:pt idx="1">
                  <c:v>100</c:v>
                </c:pt>
                <c:pt idx="2">
                  <c:v>100</c:v>
                </c:pt>
                <c:pt idx="3">
                  <c:v>95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CF-4EC2-8052-4F6480A07372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SSC/N8113 </c:v>
                </c:pt>
                <c:pt idx="1">
                  <c:v>SSC/N8114</c:v>
                </c:pt>
                <c:pt idx="2">
                  <c:v>SSC/N9009</c:v>
                </c:pt>
                <c:pt idx="3">
                  <c:v>SSC/N9014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62</c:v>
                </c:pt>
                <c:pt idx="1">
                  <c:v>80</c:v>
                </c:pt>
                <c:pt idx="2">
                  <c:v>75</c:v>
                </c:pt>
                <c:pt idx="3">
                  <c:v>82.5</c:v>
                </c:pt>
                <c:pt idx="4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CF-4EC2-8052-4F6480A07372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SSC/N8113 </c:v>
                </c:pt>
                <c:pt idx="1">
                  <c:v>SSC/N8114</c:v>
                </c:pt>
                <c:pt idx="2">
                  <c:v>SSC/N9009</c:v>
                </c:pt>
                <c:pt idx="3">
                  <c:v>SSC/N9014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15.429724200026678</c:v>
                </c:pt>
                <c:pt idx="1">
                  <c:v>23.877581303157339</c:v>
                </c:pt>
                <c:pt idx="2">
                  <c:v>18.30964378559986</c:v>
                </c:pt>
                <c:pt idx="3">
                  <c:v>18.942300913270515</c:v>
                </c:pt>
                <c:pt idx="4">
                  <c:v>5.619287222494405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CF-4EC2-8052-4F6480A07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26526"/>
        <c:axId val="21435604"/>
      </c:barChart>
      <c:catAx>
        <c:axId val="345265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1435604"/>
        <c:crosses val="autoZero"/>
        <c:auto val="1"/>
        <c:lblAlgn val="ctr"/>
        <c:lblOffset val="100"/>
        <c:noMultiLvlLbl val="0"/>
      </c:catAx>
      <c:valAx>
        <c:axId val="2143560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5265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9-4724-A9A9-A3CA19A23D8F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9-4724-A9A9-A3CA19A2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53502"/>
        <c:axId val="72694501"/>
      </c:barChart>
      <c:catAx>
        <c:axId val="894535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2694501"/>
        <c:crosses val="autoZero"/>
        <c:auto val="1"/>
        <c:lblAlgn val="ctr"/>
        <c:lblOffset val="100"/>
        <c:noMultiLvlLbl val="0"/>
      </c:catAx>
      <c:valAx>
        <c:axId val="726945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94535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192240</xdr:colOff>
      <xdr:row>2</xdr:row>
      <xdr:rowOff>85680</xdr:rowOff>
    </xdr:from>
    <xdr:to>
      <xdr:col>7</xdr:col>
      <xdr:colOff>324720</xdr:colOff>
      <xdr:row>17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37440</xdr:colOff>
      <xdr:row>17</xdr:row>
      <xdr:rowOff>104040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597600</xdr:colOff>
      <xdr:row>17</xdr:row>
      <xdr:rowOff>46800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tabSelected="1" zoomScale="85" zoomScaleNormal="85" workbookViewId="0">
      <selection activeCell="H9" sqref="H9"/>
    </sheetView>
  </sheetViews>
  <sheetFormatPr defaultColWidth="9.140625" defaultRowHeight="15" x14ac:dyDescent="0.25"/>
  <cols>
    <col min="1" max="1" width="33.140625" customWidth="1"/>
    <col min="2" max="2" width="29.7109375" customWidth="1"/>
    <col min="3" max="3" width="15.7109375" customWidth="1"/>
    <col min="4" max="4" width="10.85546875" customWidth="1"/>
    <col min="5" max="5" width="16.28515625" customWidth="1"/>
    <col min="6" max="6" width="13.85546875" customWidth="1"/>
    <col min="7" max="17" width="13.140625" customWidth="1"/>
  </cols>
  <sheetData>
    <row r="1" spans="1:18" x14ac:dyDescent="0.25">
      <c r="A1" s="10" t="s">
        <v>0</v>
      </c>
      <c r="B1" s="10" t="s">
        <v>1</v>
      </c>
    </row>
    <row r="2" spans="1:18" x14ac:dyDescent="0.25">
      <c r="A2" s="10" t="s">
        <v>2</v>
      </c>
      <c r="B2" s="10" t="s">
        <v>3</v>
      </c>
    </row>
    <row r="3" spans="1:18" x14ac:dyDescent="0.25">
      <c r="A3" s="10" t="s">
        <v>4</v>
      </c>
      <c r="B3" s="10" t="s">
        <v>5</v>
      </c>
    </row>
    <row r="4" spans="1:18" x14ac:dyDescent="0.25">
      <c r="A4" s="10" t="s">
        <v>6</v>
      </c>
      <c r="B4" s="10" t="s">
        <v>7</v>
      </c>
    </row>
    <row r="5" spans="1:18" x14ac:dyDescent="0.25">
      <c r="A5" s="10" t="s">
        <v>8</v>
      </c>
      <c r="B5" s="10" t="s">
        <v>9</v>
      </c>
    </row>
    <row r="6" spans="1:18" x14ac:dyDescent="0.25">
      <c r="A6" s="10" t="s">
        <v>10</v>
      </c>
      <c r="B6" s="10" t="s">
        <v>11</v>
      </c>
    </row>
    <row r="7" spans="1:18" x14ac:dyDescent="0.25">
      <c r="A7" s="10" t="s">
        <v>12</v>
      </c>
      <c r="B7" s="10" t="s">
        <v>13</v>
      </c>
    </row>
    <row r="8" spans="1:18" x14ac:dyDescent="0.25">
      <c r="A8" s="10" t="s">
        <v>14</v>
      </c>
      <c r="B8" s="10" t="s">
        <v>15</v>
      </c>
    </row>
    <row r="9" spans="1:18" x14ac:dyDescent="0.25">
      <c r="A9" s="10" t="s">
        <v>16</v>
      </c>
      <c r="B9" s="10" t="s">
        <v>17</v>
      </c>
    </row>
    <row r="10" spans="1:18" x14ac:dyDescent="0.25">
      <c r="A10" s="10" t="s">
        <v>18</v>
      </c>
      <c r="B10" s="11" t="s">
        <v>19</v>
      </c>
    </row>
    <row r="11" spans="1:18" x14ac:dyDescent="0.25">
      <c r="A11" s="12"/>
      <c r="B11" s="12"/>
    </row>
    <row r="13" spans="1:18" ht="30" x14ac:dyDescent="0.25">
      <c r="A13" s="13" t="s">
        <v>18</v>
      </c>
      <c r="B13" s="13" t="s">
        <v>20</v>
      </c>
      <c r="C13" s="13" t="s">
        <v>21</v>
      </c>
      <c r="D13" s="13" t="s">
        <v>22</v>
      </c>
      <c r="E13" s="13" t="s">
        <v>23</v>
      </c>
      <c r="F13" s="14" t="s">
        <v>24</v>
      </c>
      <c r="G13" s="14" t="s">
        <v>25</v>
      </c>
      <c r="H13" s="14" t="s">
        <v>26</v>
      </c>
      <c r="I13" s="14" t="s">
        <v>25</v>
      </c>
      <c r="J13" s="14" t="s">
        <v>27</v>
      </c>
      <c r="K13" s="14" t="s">
        <v>25</v>
      </c>
      <c r="L13" s="14" t="s">
        <v>28</v>
      </c>
      <c r="M13" s="14" t="s">
        <v>25</v>
      </c>
      <c r="N13" s="14" t="s">
        <v>29</v>
      </c>
      <c r="O13" s="14" t="s">
        <v>25</v>
      </c>
      <c r="P13" s="14" t="s">
        <v>30</v>
      </c>
      <c r="Q13" s="14" t="s">
        <v>31</v>
      </c>
      <c r="R13" s="14" t="s">
        <v>32</v>
      </c>
    </row>
    <row r="14" spans="1:18" x14ac:dyDescent="0.25">
      <c r="A14" s="15" t="s">
        <v>19</v>
      </c>
      <c r="B14" s="10" t="s">
        <v>33</v>
      </c>
      <c r="C14" s="10">
        <v>226005</v>
      </c>
      <c r="D14" s="16" t="s">
        <v>34</v>
      </c>
      <c r="E14" s="17">
        <v>46162</v>
      </c>
      <c r="F14" s="10">
        <v>69</v>
      </c>
      <c r="G14" s="10" t="str">
        <f t="shared" ref="G14:G25" si="0">IF(F14&gt;=70,"PASS",IF(F14&gt;0,"FAIL", "ABSENT"))</f>
        <v>FAIL</v>
      </c>
      <c r="H14" s="10">
        <v>100</v>
      </c>
      <c r="I14" s="10" t="str">
        <f t="shared" ref="I14:I25" si="1">IF(H14&gt;=70,"PASS",IF(H14&gt;0,"FAIL", "ABSENT"))</f>
        <v>PASS</v>
      </c>
      <c r="J14" s="10">
        <v>75</v>
      </c>
      <c r="K14" s="10" t="str">
        <f t="shared" ref="K14:K25" si="2">IF(J14&gt;=70,"PASS",IF(J14&gt;0,"FAIL", "ABSENT"))</f>
        <v>PASS</v>
      </c>
      <c r="L14" s="10">
        <v>85</v>
      </c>
      <c r="M14" s="10" t="str">
        <f t="shared" ref="M14:M25" si="3">IF(L14&gt;=70,"PASS",IF(L14&gt;0,"FAIL", "ABSENT"))</f>
        <v>PASS</v>
      </c>
      <c r="N14" s="10">
        <v>37</v>
      </c>
      <c r="O14" s="10" t="str">
        <f t="shared" ref="O14:O25" si="4">IF(N14&gt;=35,"PASS",IF(N14&gt;0,"FAIL", "ABSENT"))</f>
        <v>PASS</v>
      </c>
      <c r="P14" s="16">
        <f t="shared" ref="P14:P25" si="5">F14+H14+J14+L14+N14</f>
        <v>366</v>
      </c>
      <c r="Q14" s="10" t="str">
        <f t="shared" ref="Q14:Q25" si="6">IF(R14&gt;=70,"PASS",IF(R14&gt;0,"FAIL","ABSENT"))</f>
        <v>PASS</v>
      </c>
      <c r="R14" s="18">
        <f t="shared" ref="R14:R25" si="7">P14/450*100</f>
        <v>81.333333333333329</v>
      </c>
    </row>
    <row r="15" spans="1:18" x14ac:dyDescent="0.25">
      <c r="A15" s="15" t="s">
        <v>19</v>
      </c>
      <c r="B15" s="10" t="s">
        <v>35</v>
      </c>
      <c r="C15" s="10">
        <v>196015</v>
      </c>
      <c r="D15" s="16" t="s">
        <v>34</v>
      </c>
      <c r="E15" s="17">
        <v>46162</v>
      </c>
      <c r="F15" s="10">
        <v>51</v>
      </c>
      <c r="G15" s="10" t="str">
        <f t="shared" si="0"/>
        <v>FAIL</v>
      </c>
      <c r="H15" s="10">
        <v>80</v>
      </c>
      <c r="I15" s="10" t="str">
        <f t="shared" si="1"/>
        <v>PASS</v>
      </c>
      <c r="J15" s="10">
        <v>80</v>
      </c>
      <c r="K15" s="10" t="str">
        <f t="shared" si="2"/>
        <v>PASS</v>
      </c>
      <c r="L15" s="10">
        <v>90</v>
      </c>
      <c r="M15" s="10" t="str">
        <f t="shared" si="3"/>
        <v>PASS</v>
      </c>
      <c r="N15" s="10">
        <v>34</v>
      </c>
      <c r="O15" s="10" t="str">
        <f t="shared" si="4"/>
        <v>FAIL</v>
      </c>
      <c r="P15" s="16">
        <f t="shared" si="5"/>
        <v>335</v>
      </c>
      <c r="Q15" s="10" t="str">
        <f t="shared" si="6"/>
        <v>PASS</v>
      </c>
      <c r="R15" s="18">
        <f t="shared" si="7"/>
        <v>74.444444444444443</v>
      </c>
    </row>
    <row r="16" spans="1:18" x14ac:dyDescent="0.25">
      <c r="A16" s="15" t="s">
        <v>19</v>
      </c>
      <c r="B16" s="10" t="s">
        <v>36</v>
      </c>
      <c r="C16" s="10">
        <v>196002</v>
      </c>
      <c r="D16" s="16" t="s">
        <v>34</v>
      </c>
      <c r="E16" s="17">
        <v>46162</v>
      </c>
      <c r="F16" s="10">
        <v>51</v>
      </c>
      <c r="G16" s="10" t="str">
        <f t="shared" si="0"/>
        <v>FAIL</v>
      </c>
      <c r="H16" s="10">
        <v>80</v>
      </c>
      <c r="I16" s="10" t="str">
        <f t="shared" si="1"/>
        <v>PASS</v>
      </c>
      <c r="J16" s="10">
        <v>100</v>
      </c>
      <c r="K16" s="10" t="str">
        <f t="shared" si="2"/>
        <v>PASS</v>
      </c>
      <c r="L16" s="10">
        <v>95</v>
      </c>
      <c r="M16" s="10" t="str">
        <f t="shared" si="3"/>
        <v>PASS</v>
      </c>
      <c r="N16" s="10">
        <v>34</v>
      </c>
      <c r="O16" s="10" t="str">
        <f t="shared" si="4"/>
        <v>FAIL</v>
      </c>
      <c r="P16" s="16">
        <f t="shared" si="5"/>
        <v>360</v>
      </c>
      <c r="Q16" s="10" t="str">
        <f t="shared" si="6"/>
        <v>PASS</v>
      </c>
      <c r="R16" s="18">
        <f t="shared" si="7"/>
        <v>80</v>
      </c>
    </row>
    <row r="17" spans="1:18" x14ac:dyDescent="0.25">
      <c r="A17" s="15" t="s">
        <v>19</v>
      </c>
      <c r="B17" s="10" t="s">
        <v>37</v>
      </c>
      <c r="C17" s="10">
        <v>216022</v>
      </c>
      <c r="D17" s="16" t="s">
        <v>34</v>
      </c>
      <c r="E17" s="17">
        <v>46162</v>
      </c>
      <c r="F17" s="10">
        <v>70</v>
      </c>
      <c r="G17" s="10" t="str">
        <f t="shared" si="0"/>
        <v>PASS</v>
      </c>
      <c r="H17" s="10">
        <v>85</v>
      </c>
      <c r="I17" s="10" t="str">
        <f t="shared" si="1"/>
        <v>PASS</v>
      </c>
      <c r="J17" s="10">
        <v>75</v>
      </c>
      <c r="K17" s="10" t="str">
        <f t="shared" si="2"/>
        <v>PASS</v>
      </c>
      <c r="L17" s="10">
        <v>90</v>
      </c>
      <c r="M17" s="10" t="str">
        <f t="shared" si="3"/>
        <v>PASS</v>
      </c>
      <c r="N17" s="10">
        <v>39</v>
      </c>
      <c r="O17" s="10" t="str">
        <f t="shared" si="4"/>
        <v>PASS</v>
      </c>
      <c r="P17" s="16">
        <f t="shared" si="5"/>
        <v>359</v>
      </c>
      <c r="Q17" s="10" t="str">
        <f t="shared" si="6"/>
        <v>PASS</v>
      </c>
      <c r="R17" s="18">
        <f t="shared" si="7"/>
        <v>79.777777777777786</v>
      </c>
    </row>
    <row r="18" spans="1:18" x14ac:dyDescent="0.25">
      <c r="A18" s="15" t="s">
        <v>19</v>
      </c>
      <c r="B18" s="10" t="s">
        <v>38</v>
      </c>
      <c r="C18" s="10">
        <v>216002</v>
      </c>
      <c r="D18" s="16" t="s">
        <v>34</v>
      </c>
      <c r="E18" s="17">
        <v>46162</v>
      </c>
      <c r="F18" s="10">
        <v>58</v>
      </c>
      <c r="G18" s="10" t="str">
        <f t="shared" si="0"/>
        <v>FAIL</v>
      </c>
      <c r="H18" s="10">
        <v>85</v>
      </c>
      <c r="I18" s="10" t="str">
        <f t="shared" si="1"/>
        <v>PASS</v>
      </c>
      <c r="J18" s="10">
        <v>90</v>
      </c>
      <c r="K18" s="10" t="str">
        <f t="shared" si="2"/>
        <v>PASS</v>
      </c>
      <c r="L18" s="10">
        <v>80</v>
      </c>
      <c r="M18" s="10" t="str">
        <f t="shared" si="3"/>
        <v>PASS</v>
      </c>
      <c r="N18" s="10">
        <v>33</v>
      </c>
      <c r="O18" s="10" t="str">
        <f t="shared" si="4"/>
        <v>FAIL</v>
      </c>
      <c r="P18" s="16">
        <f t="shared" si="5"/>
        <v>346</v>
      </c>
      <c r="Q18" s="10" t="str">
        <f t="shared" si="6"/>
        <v>PASS</v>
      </c>
      <c r="R18" s="18">
        <f t="shared" si="7"/>
        <v>76.888888888888886</v>
      </c>
    </row>
    <row r="19" spans="1:18" x14ac:dyDescent="0.25">
      <c r="A19" s="15" t="s">
        <v>19</v>
      </c>
      <c r="B19" s="10" t="s">
        <v>39</v>
      </c>
      <c r="C19" s="10">
        <v>216003</v>
      </c>
      <c r="D19" s="16" t="s">
        <v>34</v>
      </c>
      <c r="E19" s="17">
        <v>46162</v>
      </c>
      <c r="F19" s="10">
        <v>83</v>
      </c>
      <c r="G19" s="10" t="str">
        <f t="shared" si="0"/>
        <v>PASS</v>
      </c>
      <c r="H19" s="10">
        <v>70</v>
      </c>
      <c r="I19" s="10" t="str">
        <f t="shared" si="1"/>
        <v>PASS</v>
      </c>
      <c r="J19" s="10">
        <v>75</v>
      </c>
      <c r="K19" s="10" t="str">
        <f t="shared" si="2"/>
        <v>PASS</v>
      </c>
      <c r="L19" s="10">
        <v>75</v>
      </c>
      <c r="M19" s="10" t="str">
        <f t="shared" si="3"/>
        <v>PASS</v>
      </c>
      <c r="N19" s="10">
        <v>39</v>
      </c>
      <c r="O19" s="10" t="str">
        <f t="shared" si="4"/>
        <v>PASS</v>
      </c>
      <c r="P19" s="16">
        <f t="shared" si="5"/>
        <v>342</v>
      </c>
      <c r="Q19" s="10" t="str">
        <f t="shared" si="6"/>
        <v>PASS</v>
      </c>
      <c r="R19" s="18">
        <f t="shared" si="7"/>
        <v>76</v>
      </c>
    </row>
    <row r="20" spans="1:18" x14ac:dyDescent="0.25">
      <c r="A20" s="15" t="s">
        <v>19</v>
      </c>
      <c r="B20" s="10" t="s">
        <v>40</v>
      </c>
      <c r="C20" s="10">
        <v>216004</v>
      </c>
      <c r="D20" s="16" t="s">
        <v>34</v>
      </c>
      <c r="E20" s="17">
        <v>46162</v>
      </c>
      <c r="F20" s="10">
        <v>62</v>
      </c>
      <c r="G20" s="10" t="str">
        <f t="shared" si="0"/>
        <v>FAIL</v>
      </c>
      <c r="H20" s="10">
        <v>85</v>
      </c>
      <c r="I20" s="10" t="str">
        <f t="shared" si="1"/>
        <v>PASS</v>
      </c>
      <c r="J20" s="10">
        <v>75</v>
      </c>
      <c r="K20" s="10" t="str">
        <f t="shared" si="2"/>
        <v>PASS</v>
      </c>
      <c r="L20" s="10">
        <v>80</v>
      </c>
      <c r="M20" s="10" t="str">
        <f t="shared" si="3"/>
        <v>PASS</v>
      </c>
      <c r="N20" s="10">
        <v>36</v>
      </c>
      <c r="O20" s="10" t="str">
        <f t="shared" si="4"/>
        <v>PASS</v>
      </c>
      <c r="P20" s="16">
        <f t="shared" si="5"/>
        <v>338</v>
      </c>
      <c r="Q20" s="10" t="str">
        <f t="shared" si="6"/>
        <v>PASS</v>
      </c>
      <c r="R20" s="18">
        <f t="shared" si="7"/>
        <v>75.1111111111111</v>
      </c>
    </row>
    <row r="21" spans="1:18" x14ac:dyDescent="0.25">
      <c r="A21" s="15" t="s">
        <v>19</v>
      </c>
      <c r="B21" s="10" t="s">
        <v>41</v>
      </c>
      <c r="C21" s="10">
        <v>226001</v>
      </c>
      <c r="D21" s="16" t="s">
        <v>34</v>
      </c>
      <c r="E21" s="17">
        <v>46162</v>
      </c>
      <c r="F21" s="10">
        <v>72</v>
      </c>
      <c r="G21" s="10" t="str">
        <f t="shared" si="0"/>
        <v>PASS</v>
      </c>
      <c r="H21" s="10">
        <v>80</v>
      </c>
      <c r="I21" s="10" t="str">
        <f t="shared" si="1"/>
        <v>PASS</v>
      </c>
      <c r="J21" s="10">
        <v>70</v>
      </c>
      <c r="K21" s="10" t="str">
        <f t="shared" si="2"/>
        <v>PASS</v>
      </c>
      <c r="L21" s="10">
        <v>90</v>
      </c>
      <c r="M21" s="10" t="str">
        <f t="shared" si="3"/>
        <v>PASS</v>
      </c>
      <c r="N21" s="10">
        <v>41</v>
      </c>
      <c r="O21" s="10" t="str">
        <f t="shared" si="4"/>
        <v>PASS</v>
      </c>
      <c r="P21" s="16">
        <f t="shared" si="5"/>
        <v>353</v>
      </c>
      <c r="Q21" s="10" t="str">
        <f t="shared" si="6"/>
        <v>PASS</v>
      </c>
      <c r="R21" s="18">
        <f t="shared" si="7"/>
        <v>78.444444444444457</v>
      </c>
    </row>
    <row r="22" spans="1:18" x14ac:dyDescent="0.25">
      <c r="A22" s="15" t="s">
        <v>19</v>
      </c>
      <c r="B22" s="10" t="s">
        <v>42</v>
      </c>
      <c r="C22" s="10">
        <v>226004</v>
      </c>
      <c r="D22" s="16" t="s">
        <v>34</v>
      </c>
      <c r="E22" s="17">
        <v>46162</v>
      </c>
      <c r="F22" s="10">
        <v>62</v>
      </c>
      <c r="G22" s="10" t="str">
        <f t="shared" si="0"/>
        <v>FAIL</v>
      </c>
      <c r="H22" s="10">
        <v>100</v>
      </c>
      <c r="I22" s="10" t="str">
        <f t="shared" si="1"/>
        <v>PASS</v>
      </c>
      <c r="J22" s="10">
        <v>75</v>
      </c>
      <c r="K22" s="10" t="str">
        <f t="shared" si="2"/>
        <v>PASS</v>
      </c>
      <c r="L22" s="10">
        <v>75</v>
      </c>
      <c r="M22" s="10" t="str">
        <f t="shared" si="3"/>
        <v>PASS</v>
      </c>
      <c r="N22" s="10">
        <v>40</v>
      </c>
      <c r="O22" s="10" t="str">
        <f t="shared" si="4"/>
        <v>PASS</v>
      </c>
      <c r="P22" s="16">
        <f t="shared" si="5"/>
        <v>352</v>
      </c>
      <c r="Q22" s="10" t="str">
        <f t="shared" si="6"/>
        <v>PASS</v>
      </c>
      <c r="R22" s="18">
        <f t="shared" si="7"/>
        <v>78.222222222222229</v>
      </c>
    </row>
    <row r="23" spans="1:18" x14ac:dyDescent="0.25">
      <c r="A23" s="15" t="s">
        <v>19</v>
      </c>
      <c r="B23" s="10" t="s">
        <v>43</v>
      </c>
      <c r="C23" s="10">
        <v>236001</v>
      </c>
      <c r="D23" s="16" t="s">
        <v>34</v>
      </c>
      <c r="E23" s="17">
        <v>46162</v>
      </c>
      <c r="F23" s="10">
        <v>45</v>
      </c>
      <c r="G23" s="10" t="str">
        <f t="shared" si="0"/>
        <v>FAIL</v>
      </c>
      <c r="H23" s="10">
        <v>15</v>
      </c>
      <c r="I23" s="10" t="str">
        <f t="shared" si="1"/>
        <v>FAIL</v>
      </c>
      <c r="J23" s="10">
        <v>35</v>
      </c>
      <c r="K23" s="10" t="str">
        <f t="shared" si="2"/>
        <v>FAIL</v>
      </c>
      <c r="L23" s="10">
        <v>35</v>
      </c>
      <c r="M23" s="10" t="str">
        <f t="shared" si="3"/>
        <v>FAIL</v>
      </c>
      <c r="N23" s="10">
        <v>22</v>
      </c>
      <c r="O23" s="10" t="str">
        <f t="shared" si="4"/>
        <v>FAIL</v>
      </c>
      <c r="P23" s="16">
        <f t="shared" si="5"/>
        <v>152</v>
      </c>
      <c r="Q23" s="10" t="str">
        <f t="shared" si="6"/>
        <v>FAIL</v>
      </c>
      <c r="R23" s="18">
        <f t="shared" si="7"/>
        <v>33.777777777777779</v>
      </c>
    </row>
    <row r="24" spans="1:18" x14ac:dyDescent="0.25">
      <c r="A24" s="15" t="s">
        <v>19</v>
      </c>
      <c r="B24" s="10" t="s">
        <v>44</v>
      </c>
      <c r="C24" s="10">
        <v>226006</v>
      </c>
      <c r="D24" s="16" t="s">
        <v>34</v>
      </c>
      <c r="E24" s="17">
        <v>46162</v>
      </c>
      <c r="F24" s="10">
        <v>83</v>
      </c>
      <c r="G24" s="10" t="str">
        <f t="shared" si="0"/>
        <v>PASS</v>
      </c>
      <c r="H24" s="10">
        <v>75</v>
      </c>
      <c r="I24" s="10" t="str">
        <f t="shared" si="1"/>
        <v>PASS</v>
      </c>
      <c r="J24" s="10">
        <v>80</v>
      </c>
      <c r="K24" s="10" t="str">
        <f t="shared" si="2"/>
        <v>PASS</v>
      </c>
      <c r="L24" s="10">
        <v>85</v>
      </c>
      <c r="M24" s="10" t="str">
        <f t="shared" si="3"/>
        <v>PASS</v>
      </c>
      <c r="N24" s="10">
        <v>45</v>
      </c>
      <c r="O24" s="10" t="str">
        <f t="shared" si="4"/>
        <v>PASS</v>
      </c>
      <c r="P24" s="16">
        <f t="shared" si="5"/>
        <v>368</v>
      </c>
      <c r="Q24" s="10" t="str">
        <f t="shared" si="6"/>
        <v>PASS</v>
      </c>
      <c r="R24" s="18">
        <f t="shared" si="7"/>
        <v>81.777777777777786</v>
      </c>
    </row>
    <row r="25" spans="1:18" x14ac:dyDescent="0.25">
      <c r="A25" s="15" t="s">
        <v>19</v>
      </c>
      <c r="B25" s="10" t="s">
        <v>45</v>
      </c>
      <c r="C25" s="10">
        <v>226002</v>
      </c>
      <c r="D25" s="16" t="s">
        <v>46</v>
      </c>
      <c r="E25" s="17">
        <v>46162</v>
      </c>
      <c r="F25" s="10">
        <v>27</v>
      </c>
      <c r="G25" s="10" t="str">
        <f t="shared" si="0"/>
        <v>FAIL</v>
      </c>
      <c r="H25" s="10">
        <v>35</v>
      </c>
      <c r="I25" s="10" t="str">
        <f t="shared" si="1"/>
        <v>FAIL</v>
      </c>
      <c r="J25" s="10">
        <v>35</v>
      </c>
      <c r="K25" s="10" t="str">
        <f t="shared" si="2"/>
        <v>FAIL</v>
      </c>
      <c r="L25" s="10">
        <v>37.5</v>
      </c>
      <c r="M25" s="10" t="str">
        <f t="shared" si="3"/>
        <v>FAIL</v>
      </c>
      <c r="N25" s="10">
        <v>31</v>
      </c>
      <c r="O25" s="10" t="str">
        <f t="shared" si="4"/>
        <v>FAIL</v>
      </c>
      <c r="P25" s="16">
        <f t="shared" si="5"/>
        <v>165.5</v>
      </c>
      <c r="Q25" s="10" t="str">
        <f t="shared" si="6"/>
        <v>FAIL</v>
      </c>
      <c r="R25" s="18">
        <f t="shared" si="7"/>
        <v>36.777777777777779</v>
      </c>
    </row>
  </sheetData>
  <autoFilter ref="A13:R25" xr:uid="{00000000-0001-0000-0000-000000000000}"/>
  <conditionalFormatting sqref="C15:C25">
    <cfRule type="duplicateValues" dxfId="2" priority="3"/>
  </conditionalFormatting>
  <conditionalFormatting sqref="E14:E25">
    <cfRule type="cellIs" dxfId="1" priority="2" operator="equal">
      <formula>"Fail"</formula>
    </cfRule>
  </conditionalFormatting>
  <conditionalFormatting sqref="P14:P25">
    <cfRule type="cellIs" dxfId="0" priority="4" operator="equal">
      <formula>"Fail"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zoomScaleNormal="100" workbookViewId="0">
      <selection activeCell="G10" sqref="G10"/>
    </sheetView>
  </sheetViews>
  <sheetFormatPr defaultColWidth="8.7109375" defaultRowHeight="15" x14ac:dyDescent="0.25"/>
  <cols>
    <col min="1" max="1" width="15.7109375" customWidth="1"/>
    <col min="2" max="2" width="13" customWidth="1"/>
    <col min="4" max="5" width="10.85546875" customWidth="1"/>
    <col min="6" max="6" width="10.28515625" customWidth="1"/>
    <col min="7" max="7" width="10.42578125" customWidth="1"/>
  </cols>
  <sheetData>
    <row r="1" spans="1:7" ht="14.25" customHeight="1" x14ac:dyDescent="0.25">
      <c r="A1" s="9" t="s">
        <v>47</v>
      </c>
      <c r="B1" s="9"/>
      <c r="C1" s="9"/>
      <c r="D1" s="9"/>
      <c r="E1" s="9"/>
      <c r="F1" s="9"/>
      <c r="G1" s="9"/>
    </row>
    <row r="2" spans="1:7" x14ac:dyDescent="0.25">
      <c r="A2" s="8" t="s">
        <v>48</v>
      </c>
      <c r="B2" s="8"/>
      <c r="C2" s="8"/>
      <c r="D2" s="8"/>
      <c r="E2" s="8"/>
      <c r="F2" s="8"/>
      <c r="G2" s="8"/>
    </row>
    <row r="3" spans="1:7" x14ac:dyDescent="0.25">
      <c r="A3" s="20" t="s">
        <v>49</v>
      </c>
      <c r="B3" s="7" t="str">
        <f>score_sheet!B10</f>
        <v>BvoC810820269837</v>
      </c>
      <c r="C3" s="7"/>
      <c r="D3" s="7"/>
      <c r="E3" s="7"/>
      <c r="F3" s="7"/>
      <c r="G3" s="7"/>
    </row>
    <row r="4" spans="1:7" ht="25.5" x14ac:dyDescent="0.25">
      <c r="A4" s="21" t="s">
        <v>50</v>
      </c>
      <c r="B4" s="6" t="str">
        <f>score_sheet!B6</f>
        <v>B.VOC</v>
      </c>
      <c r="C4" s="6"/>
      <c r="D4" s="22" t="s">
        <v>51</v>
      </c>
      <c r="E4" s="5">
        <v>0.7</v>
      </c>
      <c r="F4" s="5"/>
      <c r="G4" s="5"/>
    </row>
    <row r="5" spans="1:7" x14ac:dyDescent="0.25">
      <c r="A5" s="23" t="s">
        <v>23</v>
      </c>
      <c r="B5" s="4">
        <f>score_sheet!E14</f>
        <v>46162</v>
      </c>
      <c r="C5" s="4"/>
      <c r="D5" s="4"/>
      <c r="E5" s="4"/>
      <c r="F5" s="4"/>
      <c r="G5" s="4"/>
    </row>
    <row r="6" spans="1:7" x14ac:dyDescent="0.25">
      <c r="A6" s="24" t="s">
        <v>52</v>
      </c>
      <c r="B6" s="25" t="str">
        <f>score_sheet!B3</f>
        <v>AI - Solution Architect</v>
      </c>
      <c r="C6" s="26"/>
      <c r="D6" s="27"/>
      <c r="E6" s="27"/>
      <c r="F6" s="27"/>
      <c r="G6" s="28"/>
    </row>
    <row r="7" spans="1:7" ht="14.25" customHeight="1" x14ac:dyDescent="0.25">
      <c r="A7" s="3" t="s">
        <v>53</v>
      </c>
      <c r="C7" s="24" t="s">
        <v>30</v>
      </c>
      <c r="D7" s="2" t="s">
        <v>54</v>
      </c>
      <c r="E7" s="2"/>
      <c r="F7" s="19" t="s">
        <v>55</v>
      </c>
      <c r="G7" s="19" t="s">
        <v>56</v>
      </c>
    </row>
    <row r="8" spans="1:7" x14ac:dyDescent="0.25">
      <c r="A8" s="3"/>
      <c r="B8" s="29" t="s">
        <v>57</v>
      </c>
      <c r="C8" s="30">
        <f>COUNT(score_sheet!R14:R25)</f>
        <v>12</v>
      </c>
      <c r="D8" s="2"/>
      <c r="E8" s="2"/>
      <c r="F8" s="31">
        <f>COUNTIF(score_sheet!D14:D25,"M")</f>
        <v>11</v>
      </c>
      <c r="G8" s="31">
        <f>COUNTIF(score_sheet!D14:D25,"F")</f>
        <v>1</v>
      </c>
    </row>
    <row r="9" spans="1:7" x14ac:dyDescent="0.25">
      <c r="A9" s="3"/>
      <c r="B9" s="29" t="s">
        <v>58</v>
      </c>
      <c r="C9" s="30">
        <f>COUNTIF(score_sheet!Q14:Q25,"PASS")+COUNTIF(score_sheet!Q14:Q25,"FAIL")</f>
        <v>12</v>
      </c>
      <c r="D9" s="2"/>
      <c r="E9" s="2"/>
      <c r="F9" s="31">
        <v>11</v>
      </c>
      <c r="G9" s="31">
        <v>1</v>
      </c>
    </row>
    <row r="10" spans="1:7" x14ac:dyDescent="0.25">
      <c r="A10" s="3"/>
      <c r="B10" s="29" t="s">
        <v>59</v>
      </c>
      <c r="C10" s="30">
        <f>COUNTIF(score_sheet!Q14:Q25,"PASS")</f>
        <v>10</v>
      </c>
      <c r="D10" s="2"/>
      <c r="E10" s="2"/>
      <c r="F10" s="31">
        <f>COUNTIFS(score_sheet!$D$14:$D$25,"M",score_sheet!$Q$14:$Q$25,"PASS")</f>
        <v>10</v>
      </c>
      <c r="G10" s="31">
        <f>COUNTIFS(score_sheet!$D$14:$D$25,"F",score_sheet!$Q$14:$Q$25,"PASS")</f>
        <v>0</v>
      </c>
    </row>
    <row r="11" spans="1:7" x14ac:dyDescent="0.25">
      <c r="A11" s="8" t="s">
        <v>60</v>
      </c>
      <c r="B11" s="8"/>
      <c r="C11" s="8"/>
      <c r="D11" s="8"/>
      <c r="E11" s="8"/>
      <c r="F11" s="8"/>
      <c r="G11" s="8"/>
    </row>
    <row r="12" spans="1:7" ht="38.25" x14ac:dyDescent="0.25">
      <c r="A12" s="32"/>
      <c r="B12" s="19" t="s">
        <v>61</v>
      </c>
      <c r="C12" s="19" t="s">
        <v>62</v>
      </c>
      <c r="D12" s="19" t="s">
        <v>63</v>
      </c>
      <c r="E12" s="19" t="s">
        <v>64</v>
      </c>
      <c r="F12" s="19" t="s">
        <v>65</v>
      </c>
      <c r="G12" s="19" t="s">
        <v>66</v>
      </c>
    </row>
    <row r="13" spans="1:7" x14ac:dyDescent="0.25">
      <c r="A13" s="33" t="s">
        <v>67</v>
      </c>
      <c r="B13" s="34">
        <f>$C$10/$C$9*100</f>
        <v>83.333333333333343</v>
      </c>
      <c r="C13" s="35">
        <f>AVERAGE(score_sheet!F$14:F$25)</f>
        <v>61.083333333333336</v>
      </c>
      <c r="D13" s="35">
        <f>MIN(score_sheet!F$14:F$25)</f>
        <v>27</v>
      </c>
      <c r="E13" s="36">
        <f>MAX(score_sheet!F$14:F$25)</f>
        <v>83</v>
      </c>
      <c r="F13" s="37">
        <f>MEDIAN(score_sheet!F$14:F$25)</f>
        <v>62</v>
      </c>
      <c r="G13" s="36">
        <f>STDEVP(score_sheet!F$14:F$25)</f>
        <v>15.429724200026678</v>
      </c>
    </row>
    <row r="14" spans="1:7" x14ac:dyDescent="0.25">
      <c r="A14" s="33" t="s">
        <v>68</v>
      </c>
      <c r="B14" s="34">
        <f>$C$10/$C$9*100</f>
        <v>83.333333333333343</v>
      </c>
      <c r="C14" s="35">
        <f>AVERAGE(score_sheet!H$14:H$25)</f>
        <v>74.166666666666671</v>
      </c>
      <c r="D14" s="35">
        <f>MIN(score_sheet!H$14:H$25)</f>
        <v>15</v>
      </c>
      <c r="E14" s="36">
        <f>MAX(score_sheet!H$14:H$25)</f>
        <v>100</v>
      </c>
      <c r="F14" s="37">
        <f>MEDIAN(score_sheet!H$14:H$25)</f>
        <v>80</v>
      </c>
      <c r="G14" s="36">
        <f>STDEVP(score_sheet!H$14:H$25)</f>
        <v>23.877581303157339</v>
      </c>
    </row>
    <row r="15" spans="1:7" x14ac:dyDescent="0.25">
      <c r="A15" s="33" t="s">
        <v>69</v>
      </c>
      <c r="B15" s="34">
        <f>$C$10/$C$9*100</f>
        <v>83.333333333333343</v>
      </c>
      <c r="C15" s="35">
        <f>AVERAGE(score_sheet!J$14:J$25)</f>
        <v>72.083333333333329</v>
      </c>
      <c r="D15" s="35">
        <f>MIN(score_sheet!J$14:J$25)</f>
        <v>35</v>
      </c>
      <c r="E15" s="36">
        <f>MAX(score_sheet!J$14:J$25)</f>
        <v>100</v>
      </c>
      <c r="F15" s="37">
        <f>MEDIAN(score_sheet!J$14:J$25)</f>
        <v>75</v>
      </c>
      <c r="G15" s="36">
        <f>STDEVP(score_sheet!J$14:J$25)</f>
        <v>18.30964378559986</v>
      </c>
    </row>
    <row r="16" spans="1:7" x14ac:dyDescent="0.25">
      <c r="A16" s="33" t="s">
        <v>70</v>
      </c>
      <c r="B16" s="34">
        <f>$C$10/$C$9*100</f>
        <v>83.333333333333343</v>
      </c>
      <c r="C16" s="35">
        <f>AVERAGE(score_sheet!L$14:L$25)</f>
        <v>76.458333333333329</v>
      </c>
      <c r="D16" s="35">
        <f>MIN(score_sheet!L$14:FJ$25)</f>
        <v>22</v>
      </c>
      <c r="E16" s="36">
        <f>MAX(score_sheet!L$14:L$25)</f>
        <v>95</v>
      </c>
      <c r="F16" s="37">
        <f>MEDIAN(score_sheet!L$14:L$25)</f>
        <v>82.5</v>
      </c>
      <c r="G16" s="36">
        <f>STDEVP(score_sheet!L$14:L$25)</f>
        <v>18.942300913270515</v>
      </c>
    </row>
    <row r="17" spans="1:7" x14ac:dyDescent="0.25">
      <c r="A17" s="38" t="s">
        <v>71</v>
      </c>
      <c r="B17" s="34">
        <f>$C$10/$C$9*100</f>
        <v>83.333333333333343</v>
      </c>
      <c r="C17" s="35">
        <f>AVERAGE(score_sheet!N$14:N$25)</f>
        <v>35.916666666666664</v>
      </c>
      <c r="D17" s="35">
        <f>MIN(score_sheet!N$14:N$25)</f>
        <v>22</v>
      </c>
      <c r="E17" s="36">
        <f>MAX(score_sheet!N$14:N$25)</f>
        <v>45</v>
      </c>
      <c r="F17" s="37">
        <f>MEDIAN(score_sheet!N$14:N$25)</f>
        <v>36.5</v>
      </c>
      <c r="G17" s="36">
        <f>STDEVP(score_sheet!N$14:N$25)</f>
        <v>5.619287222494405</v>
      </c>
    </row>
    <row r="18" spans="1:7" x14ac:dyDescent="0.25">
      <c r="A18" s="8" t="s">
        <v>72</v>
      </c>
      <c r="B18" s="8"/>
      <c r="C18" s="8"/>
      <c r="D18" s="8"/>
      <c r="E18" s="8"/>
      <c r="F18" s="8"/>
      <c r="G18" s="8"/>
    </row>
    <row r="19" spans="1:7" x14ac:dyDescent="0.25">
      <c r="A19" s="39"/>
      <c r="B19" s="40">
        <v>1</v>
      </c>
      <c r="C19" s="40">
        <v>2</v>
      </c>
      <c r="D19" s="40">
        <v>3</v>
      </c>
      <c r="E19" s="40">
        <v>4</v>
      </c>
      <c r="F19" s="40">
        <v>5</v>
      </c>
      <c r="G19" s="40">
        <v>6</v>
      </c>
    </row>
    <row r="20" spans="1:7" ht="15" customHeight="1" x14ac:dyDescent="0.25">
      <c r="A20" s="1" t="s">
        <v>67</v>
      </c>
      <c r="B20" s="10" t="s">
        <v>73</v>
      </c>
      <c r="C20" s="10" t="s">
        <v>74</v>
      </c>
      <c r="D20" s="10" t="s">
        <v>75</v>
      </c>
      <c r="E20" s="10" t="s">
        <v>76</v>
      </c>
      <c r="F20" s="41"/>
      <c r="G20" s="41"/>
    </row>
    <row r="21" spans="1:7" x14ac:dyDescent="0.25">
      <c r="A21" s="1"/>
      <c r="B21" s="41"/>
      <c r="C21" s="41"/>
      <c r="D21" s="41"/>
      <c r="E21" s="41"/>
      <c r="F21" s="41"/>
      <c r="G21" s="41"/>
    </row>
    <row r="22" spans="1:7" x14ac:dyDescent="0.25">
      <c r="A22" s="1"/>
      <c r="B22" s="41"/>
      <c r="C22" s="41"/>
      <c r="D22" s="41"/>
      <c r="E22" s="41"/>
      <c r="F22" s="41"/>
      <c r="G22" s="41"/>
    </row>
    <row r="23" spans="1:7" ht="15" customHeight="1" x14ac:dyDescent="0.25">
      <c r="A23" s="1" t="s">
        <v>68</v>
      </c>
      <c r="B23" s="41"/>
      <c r="C23" s="41"/>
      <c r="D23" s="41"/>
      <c r="E23" s="41"/>
      <c r="F23" s="41"/>
      <c r="G23" s="41"/>
    </row>
    <row r="24" spans="1:7" x14ac:dyDescent="0.25">
      <c r="A24" s="1"/>
      <c r="B24" s="41"/>
      <c r="C24" s="41"/>
      <c r="D24" s="41"/>
      <c r="E24" s="41"/>
      <c r="F24" s="41"/>
      <c r="G24" s="41"/>
    </row>
    <row r="25" spans="1:7" x14ac:dyDescent="0.25">
      <c r="A25" s="1"/>
      <c r="B25" s="41"/>
      <c r="C25" s="41"/>
      <c r="D25" s="41"/>
      <c r="E25" s="41"/>
      <c r="F25" s="41"/>
      <c r="G25" s="41"/>
    </row>
    <row r="26" spans="1:7" ht="15" customHeight="1" x14ac:dyDescent="0.25">
      <c r="A26" s="1" t="s">
        <v>69</v>
      </c>
      <c r="B26" s="10" t="s">
        <v>77</v>
      </c>
      <c r="C26" s="41"/>
      <c r="D26" s="41"/>
      <c r="E26" s="41"/>
      <c r="F26" s="41"/>
      <c r="G26" s="41"/>
    </row>
    <row r="27" spans="1:7" x14ac:dyDescent="0.25">
      <c r="A27" s="1"/>
      <c r="B27" s="41"/>
      <c r="C27" s="41"/>
      <c r="D27" s="41"/>
      <c r="E27" s="41"/>
      <c r="F27" s="41"/>
      <c r="G27" s="41"/>
    </row>
    <row r="28" spans="1:7" x14ac:dyDescent="0.25">
      <c r="A28" s="1"/>
      <c r="B28" s="41"/>
      <c r="C28" s="41"/>
      <c r="D28" s="41"/>
      <c r="E28" s="41"/>
      <c r="F28" s="41"/>
      <c r="G28" s="41"/>
    </row>
    <row r="29" spans="1:7" ht="15" customHeight="1" x14ac:dyDescent="0.25">
      <c r="A29" s="1" t="s">
        <v>70</v>
      </c>
      <c r="B29" s="10" t="s">
        <v>77</v>
      </c>
      <c r="C29" s="41"/>
      <c r="D29" s="41"/>
      <c r="E29" s="41"/>
      <c r="F29" s="41"/>
      <c r="G29" s="41"/>
    </row>
    <row r="30" spans="1:7" x14ac:dyDescent="0.25">
      <c r="A30" s="1"/>
      <c r="B30" s="41"/>
      <c r="C30" s="41"/>
      <c r="D30" s="41"/>
      <c r="E30" s="41"/>
      <c r="F30" s="41"/>
      <c r="G30" s="41"/>
    </row>
    <row r="31" spans="1:7" x14ac:dyDescent="0.25">
      <c r="A31" s="1"/>
      <c r="B31" s="41"/>
      <c r="C31" s="41"/>
      <c r="D31" s="41"/>
      <c r="E31" s="41"/>
      <c r="F31" s="41"/>
      <c r="G31" s="41"/>
    </row>
    <row r="32" spans="1:7" ht="15" customHeight="1" x14ac:dyDescent="0.25">
      <c r="A32" s="1" t="s">
        <v>71</v>
      </c>
      <c r="B32" s="10" t="s">
        <v>78</v>
      </c>
      <c r="C32" s="10" t="s">
        <v>79</v>
      </c>
      <c r="D32" s="41"/>
      <c r="E32" s="41"/>
      <c r="F32" s="41"/>
      <c r="G32" s="41"/>
    </row>
    <row r="33" spans="1:7" x14ac:dyDescent="0.25">
      <c r="A33" s="1"/>
      <c r="B33" s="41"/>
      <c r="C33" s="41"/>
      <c r="D33" s="41"/>
      <c r="E33" s="41"/>
      <c r="F33" s="41"/>
      <c r="G33" s="41"/>
    </row>
    <row r="34" spans="1:7" x14ac:dyDescent="0.25">
      <c r="A34" s="1"/>
      <c r="B34" s="41"/>
      <c r="C34" s="41"/>
      <c r="D34" s="41"/>
      <c r="E34" s="41"/>
      <c r="F34" s="41"/>
      <c r="G34" s="41"/>
    </row>
    <row r="35" spans="1:7" x14ac:dyDescent="0.25">
      <c r="A35" s="8" t="s">
        <v>80</v>
      </c>
      <c r="B35" s="8"/>
      <c r="C35" s="8"/>
      <c r="D35" s="8"/>
      <c r="E35" s="8"/>
      <c r="F35" s="8"/>
      <c r="G35" s="8"/>
    </row>
    <row r="36" spans="1:7" ht="15" customHeight="1" x14ac:dyDescent="0.25">
      <c r="A36" s="1" t="s">
        <v>67</v>
      </c>
      <c r="B36" s="10" t="s">
        <v>81</v>
      </c>
      <c r="C36" s="10" t="s">
        <v>82</v>
      </c>
      <c r="D36" s="10" t="s">
        <v>83</v>
      </c>
      <c r="E36" s="41"/>
      <c r="F36" s="41"/>
      <c r="G36" s="41"/>
    </row>
    <row r="37" spans="1:7" x14ac:dyDescent="0.25">
      <c r="A37" s="1"/>
      <c r="B37" s="41"/>
      <c r="C37" s="41"/>
      <c r="D37" s="41"/>
      <c r="E37" s="41"/>
      <c r="F37" s="41"/>
      <c r="G37" s="41"/>
    </row>
    <row r="38" spans="1:7" x14ac:dyDescent="0.25">
      <c r="A38" s="1"/>
      <c r="B38" s="41"/>
      <c r="C38" s="41"/>
      <c r="D38" s="41"/>
      <c r="E38" s="41"/>
      <c r="F38" s="41"/>
      <c r="G38" s="41"/>
    </row>
    <row r="39" spans="1:7" ht="15" customHeight="1" x14ac:dyDescent="0.25">
      <c r="A39" s="1" t="s">
        <v>68</v>
      </c>
      <c r="B39" s="10" t="s">
        <v>73</v>
      </c>
      <c r="C39" s="10" t="s">
        <v>74</v>
      </c>
      <c r="D39" s="41"/>
      <c r="E39" s="41"/>
      <c r="F39" s="41"/>
      <c r="G39" s="41"/>
    </row>
    <row r="40" spans="1:7" x14ac:dyDescent="0.25">
      <c r="A40" s="1"/>
      <c r="B40" s="41"/>
      <c r="C40" s="41"/>
      <c r="D40" s="41"/>
      <c r="E40" s="41"/>
      <c r="F40" s="41"/>
      <c r="G40" s="41"/>
    </row>
    <row r="41" spans="1:7" x14ac:dyDescent="0.25">
      <c r="A41" s="1"/>
      <c r="B41" s="41"/>
      <c r="C41" s="41"/>
      <c r="D41" s="41"/>
      <c r="E41" s="41"/>
      <c r="F41" s="41"/>
      <c r="G41" s="41"/>
    </row>
    <row r="42" spans="1:7" ht="15" customHeight="1" x14ac:dyDescent="0.25">
      <c r="A42" s="1" t="s">
        <v>69</v>
      </c>
      <c r="B42" s="41"/>
      <c r="C42" s="41"/>
      <c r="D42" s="41"/>
      <c r="E42" s="41"/>
      <c r="F42" s="41"/>
      <c r="G42" s="41"/>
    </row>
    <row r="43" spans="1:7" x14ac:dyDescent="0.25">
      <c r="A43" s="1"/>
      <c r="B43" s="41"/>
      <c r="C43" s="41"/>
      <c r="D43" s="41"/>
      <c r="E43" s="41"/>
      <c r="F43" s="41"/>
      <c r="G43" s="41"/>
    </row>
    <row r="44" spans="1:7" x14ac:dyDescent="0.25">
      <c r="A44" s="1"/>
      <c r="B44" s="41"/>
      <c r="C44" s="41"/>
      <c r="D44" s="41"/>
      <c r="E44" s="41"/>
      <c r="F44" s="41"/>
      <c r="G44" s="41"/>
    </row>
    <row r="45" spans="1:7" ht="15" customHeight="1" x14ac:dyDescent="0.25">
      <c r="A45" s="1" t="s">
        <v>70</v>
      </c>
      <c r="B45" s="10" t="s">
        <v>82</v>
      </c>
      <c r="C45" s="41"/>
      <c r="D45" s="41"/>
      <c r="E45" s="41"/>
      <c r="F45" s="41"/>
      <c r="G45" s="41"/>
    </row>
    <row r="46" spans="1:7" x14ac:dyDescent="0.25">
      <c r="A46" s="1"/>
      <c r="B46" s="41"/>
      <c r="C46" s="41"/>
      <c r="D46" s="41"/>
      <c r="E46" s="41"/>
      <c r="F46" s="41"/>
      <c r="G46" s="41"/>
    </row>
    <row r="47" spans="1:7" x14ac:dyDescent="0.25">
      <c r="A47" s="1"/>
      <c r="B47" s="41"/>
      <c r="C47" s="41"/>
      <c r="D47" s="41"/>
      <c r="E47" s="41"/>
      <c r="F47" s="41"/>
      <c r="G47" s="41"/>
    </row>
    <row r="48" spans="1:7" ht="15" customHeight="1" x14ac:dyDescent="0.25">
      <c r="A48" s="1" t="s">
        <v>71</v>
      </c>
      <c r="B48" s="41"/>
      <c r="C48" s="41"/>
      <c r="D48" s="41"/>
      <c r="E48" s="41"/>
      <c r="F48" s="41"/>
      <c r="G48" s="41"/>
    </row>
    <row r="49" spans="1:7" x14ac:dyDescent="0.25">
      <c r="A49" s="1"/>
      <c r="B49" s="41"/>
      <c r="C49" s="41"/>
      <c r="D49" s="41"/>
      <c r="E49" s="41"/>
      <c r="F49" s="41"/>
      <c r="G49" s="41"/>
    </row>
    <row r="50" spans="1:7" x14ac:dyDescent="0.25">
      <c r="A50" s="1"/>
      <c r="B50" s="41"/>
      <c r="C50" s="41"/>
      <c r="D50" s="41"/>
      <c r="E50" s="41"/>
      <c r="F50" s="41"/>
      <c r="G50" s="41"/>
    </row>
    <row r="51" spans="1:7" x14ac:dyDescent="0.25">
      <c r="A51" s="8" t="s">
        <v>84</v>
      </c>
      <c r="B51" s="8"/>
      <c r="C51" s="8"/>
      <c r="D51" s="8"/>
      <c r="E51" s="8"/>
      <c r="F51" s="8"/>
      <c r="G51" s="8"/>
    </row>
    <row r="52" spans="1:7" ht="15" customHeight="1" x14ac:dyDescent="0.25">
      <c r="A52" s="1" t="s">
        <v>67</v>
      </c>
      <c r="B52" s="10" t="s">
        <v>85</v>
      </c>
      <c r="C52" s="10" t="s">
        <v>86</v>
      </c>
      <c r="D52" s="10" t="s">
        <v>77</v>
      </c>
      <c r="E52" s="10" t="s">
        <v>78</v>
      </c>
      <c r="F52" s="10" t="s">
        <v>87</v>
      </c>
      <c r="G52" s="10" t="s">
        <v>79</v>
      </c>
    </row>
    <row r="53" spans="1:7" x14ac:dyDescent="0.25">
      <c r="A53" s="1"/>
      <c r="B53" s="41"/>
      <c r="C53" s="41"/>
      <c r="D53" s="41"/>
      <c r="E53" s="41"/>
      <c r="F53" s="41"/>
      <c r="G53" s="41"/>
    </row>
    <row r="54" spans="1:7" x14ac:dyDescent="0.25">
      <c r="A54" s="1"/>
      <c r="B54" s="41"/>
      <c r="C54" s="41"/>
      <c r="D54" s="41"/>
      <c r="E54" s="41"/>
      <c r="F54" s="41"/>
      <c r="G54" s="41"/>
    </row>
    <row r="55" spans="1:7" ht="15" customHeight="1" x14ac:dyDescent="0.25">
      <c r="A55" s="1" t="s">
        <v>68</v>
      </c>
      <c r="B55" s="10" t="s">
        <v>82</v>
      </c>
      <c r="C55" s="10" t="s">
        <v>85</v>
      </c>
      <c r="D55" s="10" t="s">
        <v>77</v>
      </c>
      <c r="E55" s="41"/>
      <c r="F55" s="41"/>
      <c r="G55" s="41"/>
    </row>
    <row r="56" spans="1:7" x14ac:dyDescent="0.25">
      <c r="A56" s="1"/>
      <c r="B56" s="41"/>
      <c r="C56" s="41"/>
      <c r="D56" s="41"/>
      <c r="E56" s="41"/>
      <c r="F56" s="41"/>
      <c r="G56" s="41"/>
    </row>
    <row r="57" spans="1:7" x14ac:dyDescent="0.25">
      <c r="A57" s="1"/>
      <c r="B57" s="41"/>
      <c r="C57" s="41"/>
      <c r="D57" s="41"/>
      <c r="E57" s="41"/>
      <c r="F57" s="41"/>
      <c r="G57" s="41"/>
    </row>
    <row r="58" spans="1:7" ht="15" customHeight="1" x14ac:dyDescent="0.25">
      <c r="A58" s="1" t="s">
        <v>69</v>
      </c>
      <c r="B58" s="10" t="s">
        <v>73</v>
      </c>
      <c r="C58" s="10" t="s">
        <v>85</v>
      </c>
      <c r="D58" s="10" t="s">
        <v>74</v>
      </c>
      <c r="E58" s="10" t="s">
        <v>86</v>
      </c>
      <c r="F58" s="10" t="s">
        <v>82</v>
      </c>
      <c r="G58" s="10" t="s">
        <v>78</v>
      </c>
    </row>
    <row r="59" spans="1:7" x14ac:dyDescent="0.25">
      <c r="A59" s="1"/>
      <c r="B59" s="41"/>
      <c r="C59" s="41"/>
      <c r="D59" s="41"/>
      <c r="E59" s="41"/>
      <c r="F59" s="41"/>
      <c r="G59" s="41"/>
    </row>
    <row r="60" spans="1:7" x14ac:dyDescent="0.25">
      <c r="A60" s="1"/>
      <c r="B60" s="41"/>
      <c r="C60" s="41"/>
      <c r="D60" s="41"/>
      <c r="E60" s="41"/>
      <c r="F60" s="41"/>
      <c r="G60" s="41"/>
    </row>
    <row r="61" spans="1:7" ht="15" customHeight="1" x14ac:dyDescent="0.25">
      <c r="A61" s="1" t="s">
        <v>70</v>
      </c>
      <c r="B61" s="10" t="s">
        <v>73</v>
      </c>
      <c r="C61" s="10" t="s">
        <v>85</v>
      </c>
      <c r="D61" s="10" t="s">
        <v>78</v>
      </c>
      <c r="E61" s="10" t="s">
        <v>74</v>
      </c>
      <c r="F61" s="41"/>
      <c r="G61" s="41"/>
    </row>
    <row r="62" spans="1:7" x14ac:dyDescent="0.25">
      <c r="A62" s="1"/>
      <c r="B62" s="41"/>
      <c r="C62" s="41"/>
      <c r="D62" s="41"/>
      <c r="E62" s="41"/>
      <c r="F62" s="41"/>
      <c r="G62" s="41"/>
    </row>
    <row r="63" spans="1:7" x14ac:dyDescent="0.25">
      <c r="A63" s="1"/>
      <c r="B63" s="41"/>
      <c r="C63" s="41"/>
      <c r="D63" s="41"/>
      <c r="E63" s="41"/>
      <c r="F63" s="41"/>
      <c r="G63" s="41"/>
    </row>
    <row r="64" spans="1:7" ht="15" customHeight="1" x14ac:dyDescent="0.25">
      <c r="A64" s="1" t="s">
        <v>71</v>
      </c>
      <c r="B64" s="10" t="s">
        <v>73</v>
      </c>
      <c r="C64" s="10" t="s">
        <v>82</v>
      </c>
      <c r="D64" s="10" t="s">
        <v>85</v>
      </c>
      <c r="E64" s="10" t="s">
        <v>77</v>
      </c>
      <c r="F64" s="10" t="s">
        <v>74</v>
      </c>
      <c r="G64" s="10" t="s">
        <v>86</v>
      </c>
    </row>
    <row r="65" spans="1:7" x14ac:dyDescent="0.25">
      <c r="A65" s="1"/>
      <c r="B65" s="10" t="s">
        <v>87</v>
      </c>
      <c r="C65" s="10" t="s">
        <v>81</v>
      </c>
      <c r="D65" s="10" t="s">
        <v>83</v>
      </c>
      <c r="E65" s="10" t="s">
        <v>88</v>
      </c>
      <c r="F65" s="42"/>
      <c r="G65" s="42"/>
    </row>
    <row r="66" spans="1:7" x14ac:dyDescent="0.25">
      <c r="A66" s="1"/>
      <c r="B66" s="41"/>
      <c r="C66" s="41"/>
      <c r="D66" s="41"/>
      <c r="E66" s="41"/>
      <c r="F66" s="41"/>
      <c r="G66" s="41"/>
    </row>
  </sheetData>
  <mergeCells count="27">
    <mergeCell ref="A61:A63"/>
    <mergeCell ref="A64:A66"/>
    <mergeCell ref="A48:A50"/>
    <mergeCell ref="A51:G51"/>
    <mergeCell ref="A52:A54"/>
    <mergeCell ref="A55:A57"/>
    <mergeCell ref="A58:A60"/>
    <mergeCell ref="A35:G35"/>
    <mergeCell ref="A36:A38"/>
    <mergeCell ref="A39:A41"/>
    <mergeCell ref="A42:A44"/>
    <mergeCell ref="A45:A47"/>
    <mergeCell ref="A20:A22"/>
    <mergeCell ref="A23:A25"/>
    <mergeCell ref="A26:A28"/>
    <mergeCell ref="A29:A31"/>
    <mergeCell ref="A32:A34"/>
    <mergeCell ref="B5:G5"/>
    <mergeCell ref="A7:A10"/>
    <mergeCell ref="D7:E10"/>
    <mergeCell ref="A11:G11"/>
    <mergeCell ref="A18:G18"/>
    <mergeCell ref="A1:G1"/>
    <mergeCell ref="A2:G2"/>
    <mergeCell ref="B3:G3"/>
    <mergeCell ref="B4:C4"/>
    <mergeCell ref="E4:G4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zoomScaleNormal="100" workbookViewId="0">
      <selection activeCell="N18" sqref="N18"/>
    </sheetView>
  </sheetViews>
  <sheetFormatPr defaultColWidth="8.7109375" defaultRowHeight="15" x14ac:dyDescent="0.25"/>
  <sheetData>
    <row r="1" spans="1:2" x14ac:dyDescent="0.25">
      <c r="A1" s="43" t="s">
        <v>49</v>
      </c>
      <c r="B1" s="43" t="str">
        <f>score_sheet!B10</f>
        <v>BvoC810820269837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Ranu Chauhan (On Contract)</cp:lastModifiedBy>
  <cp:revision>13</cp:revision>
  <dcterms:created xsi:type="dcterms:W3CDTF">2015-05-01T13:34:33Z</dcterms:created>
  <dcterms:modified xsi:type="dcterms:W3CDTF">2026-08-19T03:27:06Z</dcterms:modified>
  <dc:language>en-IN</dc:language>
</cp:coreProperties>
</file>