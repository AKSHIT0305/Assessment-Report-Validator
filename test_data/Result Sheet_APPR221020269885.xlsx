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<sst xmlns="http://schemas.openxmlformats.org/spreadsheetml/2006/main" count="94" uniqueCount="69">
  <si>
    <t xml:space="preserve">Assessment Agency Name</t>
  </si>
  <si>
    <t xml:space="preserve">Ginger Webs Pvt. Ltd.</t>
  </si>
  <si>
    <t xml:space="preserve">Training Provider Name</t>
  </si>
  <si>
    <t xml:space="preserve">2Coms Consulting Private Limited</t>
  </si>
  <si>
    <t xml:space="preserve">Qualification Pack Name/Job Role</t>
  </si>
  <si>
    <t xml:space="preserve">Customer Care Executive-Domestic- Voice</t>
  </si>
  <si>
    <t xml:space="preserve">Qualification Code</t>
  </si>
  <si>
    <t xml:space="preserve">SSC/Q2210</t>
  </si>
  <si>
    <t xml:space="preserve">Assessor Name/AR ID</t>
  </si>
  <si>
    <t xml:space="preserve">AR37662 &amp; Bablu Kumar Singh</t>
  </si>
  <si>
    <t xml:space="preserve">Scheme Name</t>
  </si>
  <si>
    <t xml:space="preserve">Apprenticeship</t>
  </si>
  <si>
    <t xml:space="preserve">State</t>
  </si>
  <si>
    <t xml:space="preserve">Delhi</t>
  </si>
  <si>
    <t xml:space="preserve">City</t>
  </si>
  <si>
    <t xml:space="preserve">Center ID</t>
  </si>
  <si>
    <t xml:space="preserve">NA</t>
  </si>
  <si>
    <t xml:space="preserve">Batch ID</t>
  </si>
  <si>
    <t xml:space="preserve">APPR221020269885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</si>
  <si>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</si>
  <si>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</si>
  <si>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</si>
  <si>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</si>
  <si>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SSC/N3020- Score</t>
  </si>
  <si>
    <t xml:space="preserve">Pass/Fail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</si>
  <si>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</si>
  <si>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</si>
  <si>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</si>
  <si>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</si>
  <si>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UTHARA V ANIL</t>
  </si>
  <si>
    <t xml:space="preserve">CN052528496</t>
  </si>
  <si>
    <t xml:space="preserve">M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</si>
  <si>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</si>
  <si>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</si>
  <si>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</si>
  <si>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</si>
  <si>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</si>
  <si>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</si>
  <si>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</si>
  <si>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</si>
  <si>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</si>
  <si>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</si>
  <si>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</si>
  <si>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</si>
  <si>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</si>
  <si>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</si>
  <si>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</si>
  <si>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</si>
  <si>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</si>
  <si>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</si>
  <si>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</si>
  <si>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</si>
  <si>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SSC/N3020</t>
  </si>
  <si>
    <t xml:space="preserve">DGT/VSQ/N0102</t>
  </si>
  <si>
    <t xml:space="preserve">WEAK PCs (AVERAGE SCORE LESS THAN 50%)</t>
  </si>
  <si>
    <t xml:space="preserve">PC2</t>
  </si>
  <si>
    <t xml:space="preserve">PC11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</si>
  <si>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</si>
  <si>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</si>
  <si>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</si>
  <si>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</si>
  <si>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</si>
  <si>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PC10</t>
  </si>
  <si>
    <t xml:space="preserve">PC9</t>
  </si>
  <si>
    <t xml:space="preserve">PC12</t>
  </si>
  <si>
    <t xml:space="preserve">Moderately weak PCs (AVERAGE SCORE BETWEEN 50-70%)</t>
  </si>
  <si>
    <t xml:space="preserve">PC1</t>
  </si>
  <si>
    <t xml:space="preserve">PC8</t>
  </si>
  <si>
    <t xml:space="preserve">STRONG PCs (AVERAGE SCORE MORE THAN 70%)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</si>
</sst>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219"/>
        <c:overlap val="-27"/>
        <c:axId val="80742254"/>
        <c:axId val="61636098"/>
      </c:barChart>
      <c:catAx>
        <c:axId val="807422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36098"/>
        <c:auto val="1"/>
        <c:lblAlgn val="ctr"/>
        <c:lblOffset val="100"/>
        <c:noMultiLvlLbl val="0"/>
      </c:catAx>
      <c:valAx>
        <c:axId val="6163609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7422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598333936979"/>
          <c:y val="0.128410513141427"/>
          <c:w val="0.905251720391163"/>
          <c:h val="0.55219023779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Tabular'!$B$13:$B$14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Tabular'!$C$13:$C$14</c:f>
              <c:numCache>
                <c:formatCode>General</c:formatCode>
                <c:ptCount val="2"/>
                <c:pt idx="0">
                  <c:v>93.75</c:v>
                </c:pt>
                <c:pt idx="1">
                  <c:v>32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Tabular'!$D$13:$D$14</c:f>
              <c:numCache>
                <c:formatCode>General</c:formatCode>
                <c:ptCount val="2"/>
                <c:pt idx="0">
                  <c:v>93.75</c:v>
                </c:pt>
                <c:pt idx="1">
                  <c:v>32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Tabular'!$E$13:$E$14</c:f>
              <c:numCache>
                <c:formatCode>General</c:formatCode>
                <c:ptCount val="2"/>
                <c:pt idx="0">
                  <c:v>93.75</c:v>
                </c:pt>
                <c:pt idx="1">
                  <c:v>32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Tabular'!$F$13:$F$14</c:f>
              <c:numCache>
                <c:formatCode>General</c:formatCode>
                <c:ptCount val="2"/>
                <c:pt idx="0">
                  <c:v>93.75</c:v>
                </c:pt>
                <c:pt idx="1">
                  <c:v>32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SSC/N3020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Tabular'!$G$13:$G$14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88204161"/>
        <c:axId val="3708940"/>
      </c:barChart>
      <c:catAx>
        <c:axId val="882041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08940"/>
        <c:crosses val="autoZero"/>
        <c:auto val="1"/>
        <c:lblAlgn val="ctr"/>
        <c:lblOffset val="100"/>
        <c:noMultiLvlLbl val="0"/>
      </c:catAx>
      <c:valAx>
        <c:axId val="3708940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2041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59495849"/>
        <c:axId val="88115844"/>
      </c:barChart>
      <c:catAx>
        <c:axId val="594958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115844"/>
        <c:crosses val="autoZero"/>
        <c:auto val="1"/>
        <c:lblAlgn val="ctr"/>
        <c:lblOffset val="100"/>
        <c:noMultiLvlLbl val="0"/>
      </c:catAx>
      <c:valAx>
        <c:axId val="881158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4958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324720</xdr:colOff>
      <xdr:row>17</xdr:row>
      <xdr:rowOff>94320</xdr:rowOff>
    </xdr:to>
    <xdr:graphicFrame>
      <xdr:nvGraphicFramePr>
        <xdr:cNvPr id="0" name="Chart 1"/>
        <xdr:cNvGraphicFramePr/>
      </xdr:nvGraphicFramePr>
      <xdr:xfrm>
        <a:off x="192240" y="466560"/>
        <a:ext cx="4346280" cy="286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16</xdr:col>
      <xdr:colOff>35280</xdr:colOff>
      <xdr:row>17</xdr:row>
      <xdr:rowOff>104040</xdr:rowOff>
    </xdr:to>
    <xdr:graphicFrame>
      <xdr:nvGraphicFramePr>
        <xdr:cNvPr id="1" name="Chart 2"/>
        <xdr:cNvGraphicFramePr/>
      </xdr:nvGraphicFramePr>
      <xdr:xfrm>
        <a:off x="4697640" y="466560"/>
        <a:ext cx="496944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198000</xdr:colOff>
      <xdr:row>2</xdr:row>
      <xdr:rowOff>76320</xdr:rowOff>
    </xdr:from>
    <xdr:to>
      <xdr:col>23</xdr:col>
      <xdr:colOff>502200</xdr:colOff>
      <xdr:row>17</xdr:row>
      <xdr:rowOff>75600</xdr:rowOff>
    </xdr:to>
    <xdr:graphicFrame>
      <xdr:nvGraphicFramePr>
        <xdr:cNvPr id="2" name="Chart 3"/>
        <xdr:cNvGraphicFramePr/>
      </xdr:nvGraphicFramePr>
      <xdr:xfrm>
        <a:off x="9829800" y="457200"/>
        <a:ext cx="45180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6" activeCellId="0" sqref="D6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9.85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12" min="6" style="1" width="12.57"/>
    <col collapsed="false" customWidth="false" hidden="false" outlineLevel="0" max="1024" min="13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4" hidden="false" customHeight="false" outlineLevel="0" collapsed="false">
      <c r="A2" s="2" t="s">
        <v>2</v>
      </c>
      <c r="B2" s="3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13</v>
      </c>
    </row>
    <row r="9" customFormat="false" ht="13.8" hidden="false" customHeight="false" outlineLevel="0" collapsed="false">
      <c r="A9" s="2" t="s">
        <v>15</v>
      </c>
      <c r="B9" s="2" t="s">
        <v>16</v>
      </c>
    </row>
    <row r="10" customFormat="false" ht="13.8" hidden="false" customHeight="false" outlineLevel="0" collapsed="false">
      <c r="A10" s="2" t="s">
        <v>17</v>
      </c>
      <c r="B10" s="2" t="s">
        <v>18</v>
      </c>
    </row>
    <row r="11" customFormat="false" ht="13.8" hidden="false" customHeight="false" outlineLevel="0" collapsed="false">
      <c r="A11" s="4"/>
      <c r="B11" s="4"/>
    </row>
    <row r="13" customFormat="false" ht="42.1" hidden="false" customHeight="false" outlineLevel="0" collapsed="false">
      <c r="A13" s="5" t="s">
        <v>17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27</v>
      </c>
      <c r="L13" s="6" t="s">
        <v>28</v>
      </c>
    </row>
    <row r="14" customFormat="false" ht="15.8" hidden="false" customHeight="false" outlineLevel="0" collapsed="false">
      <c r="A14" s="7" t="s">
        <v>18</v>
      </c>
      <c r="B14" s="2" t="s">
        <v>29</v>
      </c>
      <c r="C14" s="2" t="s">
        <v>30</v>
      </c>
      <c r="D14" s="7" t="s">
        <v>31</v>
      </c>
      <c r="E14" s="8" t="n">
        <v>46190</v>
      </c>
      <c r="F14" s="2" t="n">
        <v>93.75</v>
      </c>
      <c r="G14" s="2" t="str">
        <f aca="false">IF(F14&gt;=150,"PASS",IF(F14&gt;0,"FAIL", "ABSENT"))</f>
        <v>FAIL</v>
      </c>
      <c r="H14" s="2" t="n">
        <v>32</v>
      </c>
      <c r="I14" s="2" t="str">
        <f aca="false">IF(H14&gt;=25,"PASS",IF(H14&gt;0,"FAIL", "ABSENT"))</f>
        <v>PASS</v>
      </c>
      <c r="J14" s="9" t="n">
        <f aca="false">F14+H14</f>
        <v>125.75</v>
      </c>
      <c r="K14" s="2" t="str">
        <f aca="false">IF(L14&gt;=50,"PASS",IF(L14&gt;0,"FAIL","ABSENT"))</f>
        <v>FAIL</v>
      </c>
      <c r="L14" s="10" t="n">
        <f aca="false">J14/350*100</f>
        <v>35.9285714285714</v>
      </c>
    </row>
  </sheetData>
  <conditionalFormatting sqref="J14 E14">
    <cfRule type="cellIs" priority="2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13"/>
    <col collapsed="false" customWidth="false" hidden="false" outlineLevel="0" max="3" min="3" style="1" width="8.53"/>
    <col collapsed="false" customWidth="true" hidden="false" outlineLevel="0" max="5" min="4" style="1" width="10.85"/>
    <col collapsed="false" customWidth="true" hidden="false" outlineLevel="0" max="6" min="6" style="1" width="10.28"/>
    <col collapsed="false" customWidth="true" hidden="false" outlineLevel="0" max="7" min="7" style="1" width="10.43"/>
    <col collapsed="false" customWidth="false" hidden="false" outlineLevel="0" max="1024" min="8" style="1" width="8.53"/>
  </cols>
  <sheetData>
    <row r="1" customFormat="false" ht="14.9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</row>
    <row r="2" customFormat="false" ht="13.8" hidden="false" customHeight="false" outlineLevel="0" collapsed="false">
      <c r="A2" s="12" t="s">
        <v>33</v>
      </c>
      <c r="B2" s="12"/>
      <c r="C2" s="12"/>
      <c r="D2" s="12"/>
      <c r="E2" s="12"/>
      <c r="F2" s="12"/>
      <c r="G2" s="12"/>
    </row>
    <row r="3" customFormat="false" ht="13.8" hidden="false" customHeight="false" outlineLevel="0" collapsed="false">
      <c r="A3" s="13" t="s">
        <v>34</v>
      </c>
      <c r="B3" s="14" t="str">
        <f aca="false">score_sheet!B10</f>
        <v>APPR221020269885</v>
      </c>
      <c r="C3" s="14"/>
      <c r="D3" s="14"/>
      <c r="E3" s="14"/>
      <c r="F3" s="14"/>
      <c r="G3" s="14"/>
    </row>
    <row r="4" customFormat="false" ht="28.35" hidden="false" customHeight="false" outlineLevel="0" collapsed="false">
      <c r="A4" s="15" t="s">
        <v>35</v>
      </c>
      <c r="B4" s="16" t="str">
        <f aca="false">score_sheet!B6</f>
        <v>Apprenticeship</v>
      </c>
      <c r="C4" s="16"/>
      <c r="D4" s="17" t="s">
        <v>36</v>
      </c>
      <c r="E4" s="18" t="n">
        <v>0.5</v>
      </c>
      <c r="F4" s="18"/>
      <c r="G4" s="18"/>
    </row>
    <row r="5" customFormat="false" ht="13.8" hidden="false" customHeight="false" outlineLevel="0" collapsed="false">
      <c r="A5" s="19" t="s">
        <v>22</v>
      </c>
      <c r="B5" s="20" t="n">
        <f aca="false">score_sheet!E14</f>
        <v>46190</v>
      </c>
      <c r="C5" s="20"/>
      <c r="D5" s="20"/>
      <c r="E5" s="20"/>
      <c r="F5" s="20"/>
      <c r="G5" s="20"/>
    </row>
    <row r="6" customFormat="false" ht="13.8" hidden="false" customHeight="false" outlineLevel="0" collapsed="false">
      <c r="A6" s="21" t="s">
        <v>37</v>
      </c>
      <c r="B6" s="22" t="str">
        <f aca="false">score_sheet!B3</f>
        <v>Customer Care Executive-Domestic- Voice</v>
      </c>
      <c r="C6" s="23"/>
      <c r="D6" s="24"/>
      <c r="E6" s="24"/>
      <c r="F6" s="24"/>
      <c r="G6" s="25"/>
    </row>
    <row r="7" customFormat="false" ht="14.25" hidden="false" customHeight="true" outlineLevel="0" collapsed="false">
      <c r="A7" s="13" t="s">
        <v>38</v>
      </c>
      <c r="C7" s="21" t="s">
        <v>26</v>
      </c>
      <c r="D7" s="26" t="s">
        <v>39</v>
      </c>
      <c r="E7" s="26"/>
      <c r="F7" s="11" t="s">
        <v>40</v>
      </c>
      <c r="G7" s="11" t="s">
        <v>41</v>
      </c>
    </row>
    <row r="8" customFormat="false" ht="14.9" hidden="false" customHeight="false" outlineLevel="0" collapsed="false">
      <c r="A8" s="13"/>
      <c r="B8" s="27" t="s">
        <v>42</v>
      </c>
      <c r="C8" s="28" t="n">
        <f aca="false">COUNT(score_sheet!L14:L14)</f>
        <v>1</v>
      </c>
      <c r="D8" s="26"/>
      <c r="E8" s="26"/>
      <c r="F8" s="3" t="n">
        <f aca="false">COUNTIF(score_sheet!D14:D14,"M")</f>
        <v>1</v>
      </c>
      <c r="G8" s="3" t="n">
        <f aca="false">COUNTIF(score_sheet!D14:D14,"F")</f>
        <v>0</v>
      </c>
    </row>
    <row r="9" customFormat="false" ht="14.9" hidden="false" customHeight="false" outlineLevel="0" collapsed="false">
      <c r="A9" s="13"/>
      <c r="B9" s="27" t="s">
        <v>43</v>
      </c>
      <c r="C9" s="28" t="n">
        <f aca="false">COUNTIF(score_sheet!K14:K14,"PASS")+COUNTIF(score_sheet!K14:K14,"FAIL")</f>
        <v>1</v>
      </c>
      <c r="D9" s="26"/>
      <c r="E9" s="26"/>
      <c r="F9" s="3" t="n">
        <f aca="false">COUNTIFS(score_sheet!$D$14:$D$14,"M",score_sheet!$K$14:$K$14,"PASS")+COUNTIFS(score_sheet!$D$14:$D$14,"M",score_sheet!$K$14:$K$14,"FAIL")</f>
        <v>1</v>
      </c>
      <c r="G9" s="3" t="n">
        <f aca="false">COUNTIFS(score_sheet!$D$14:$D$14,"F",score_sheet!$K$14:$K$14,"PASS")+COUNTIFS(score_sheet!$D$14:$D$14,"F",score_sheet!$K$14:$K$14,"FAIL")</f>
        <v>0</v>
      </c>
    </row>
    <row r="10" customFormat="false" ht="14.9" hidden="false" customHeight="false" outlineLevel="0" collapsed="false">
      <c r="A10" s="13"/>
      <c r="B10" s="27" t="s">
        <v>44</v>
      </c>
      <c r="C10" s="28" t="n">
        <f aca="false">COUNTIF(score_sheet!K14:K14,"PASS")</f>
        <v>0</v>
      </c>
      <c r="D10" s="26"/>
      <c r="E10" s="26"/>
      <c r="F10" s="3" t="n">
        <f aca="false">COUNTIFS(score_sheet!$D$14:$D$14,"M",score_sheet!$K$14:$K$14,"PASS")</f>
        <v>0</v>
      </c>
      <c r="G10" s="3" t="n">
        <f aca="false">COUNTIFS(score_sheet!$D$14:$D$14,"F",score_sheet!$K$14:$K$14,"PASS")</f>
        <v>0</v>
      </c>
    </row>
    <row r="11" customFormat="false" ht="13.8" hidden="false" customHeight="false" outlineLevel="0" collapsed="false">
      <c r="A11" s="12" t="s">
        <v>45</v>
      </c>
      <c r="B11" s="12"/>
      <c r="C11" s="12"/>
      <c r="D11" s="12"/>
      <c r="E11" s="12"/>
      <c r="F11" s="12"/>
      <c r="G11" s="12"/>
    </row>
    <row r="12" customFormat="false" ht="55.2" hidden="false" customHeight="false" outlineLevel="0" collapsed="false">
      <c r="A12" s="29"/>
      <c r="B12" s="11" t="s">
        <v>46</v>
      </c>
      <c r="C12" s="11" t="s">
        <v>47</v>
      </c>
      <c r="D12" s="11" t="s">
        <v>48</v>
      </c>
      <c r="E12" s="11" t="s">
        <v>49</v>
      </c>
      <c r="F12" s="11" t="s">
        <v>50</v>
      </c>
      <c r="G12" s="11" t="s">
        <v>51</v>
      </c>
    </row>
    <row r="13" customFormat="false" ht="14.9" hidden="false" customHeight="false" outlineLevel="0" collapsed="false">
      <c r="A13" s="6" t="s">
        <v>52</v>
      </c>
      <c r="B13" s="30" t="n">
        <f aca="false">C10/C9*100</f>
        <v>0</v>
      </c>
      <c r="C13" s="31" t="n">
        <f aca="false">AVERAGE(score_sheet!F14:F14)</f>
        <v>93.75</v>
      </c>
      <c r="D13" s="31" t="n">
        <f aca="false">MIN(score_sheet!F14:F14)</f>
        <v>93.75</v>
      </c>
      <c r="E13" s="10" t="n">
        <f aca="false">MAX(score_sheet!F14:F14)</f>
        <v>93.75</v>
      </c>
      <c r="F13" s="32" t="n">
        <f aca="false">MEDIAN(score_sheet!F14:F14)</f>
        <v>93.75</v>
      </c>
      <c r="G13" s="10" t="n">
        <f aca="false">STDEVP(score_sheet!F14:F14)</f>
        <v>0</v>
      </c>
    </row>
    <row r="14" customFormat="false" ht="14.9" hidden="false" customHeight="false" outlineLevel="0" collapsed="false">
      <c r="A14" s="5" t="s">
        <v>53</v>
      </c>
      <c r="B14" s="30" t="n">
        <f aca="false">C10/C9*100</f>
        <v>0</v>
      </c>
      <c r="C14" s="31" t="n">
        <f aca="false">AVERAGE(score_sheet!H14:H14)</f>
        <v>32</v>
      </c>
      <c r="D14" s="31" t="n">
        <f aca="false">MIN(score_sheet!H14:H14)</f>
        <v>32</v>
      </c>
      <c r="E14" s="10" t="n">
        <f aca="false">MAX(score_sheet!H14:H14)</f>
        <v>32</v>
      </c>
      <c r="F14" s="32" t="n">
        <f aca="false">MEDIAN(score_sheet!H14:H14)</f>
        <v>32</v>
      </c>
      <c r="G14" s="10" t="n">
        <f aca="false">STDEVP(score_sheet!H14:H14)</f>
        <v>0</v>
      </c>
    </row>
    <row r="15" customFormat="false" ht="13.8" hidden="false" customHeight="false" outlineLevel="0" collapsed="false">
      <c r="A15" s="12" t="s">
        <v>54</v>
      </c>
      <c r="B15" s="12"/>
      <c r="C15" s="12"/>
      <c r="D15" s="12"/>
      <c r="E15" s="12"/>
      <c r="F15" s="12"/>
      <c r="G15" s="12"/>
    </row>
    <row r="16" customFormat="false" ht="13.8" hidden="false" customHeight="false" outlineLevel="0" collapsed="false">
      <c r="A16" s="33"/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</row>
    <row r="17" customFormat="false" ht="15.8" hidden="false" customHeight="true" outlineLevel="0" collapsed="false">
      <c r="A17" s="34" t="s">
        <v>52</v>
      </c>
      <c r="B17" s="2" t="s">
        <v>55</v>
      </c>
      <c r="C17" s="2" t="s">
        <v>56</v>
      </c>
      <c r="D17" s="2" t="s">
        <v>57</v>
      </c>
      <c r="E17" s="2" t="s">
        <v>58</v>
      </c>
      <c r="F17" s="2" t="s">
        <v>59</v>
      </c>
      <c r="G17" s="2" t="s">
        <v>60</v>
      </c>
    </row>
    <row r="18" customFormat="false" ht="15.8" hidden="false" customHeight="false" outlineLevel="0" collapsed="false">
      <c r="A18" s="34"/>
      <c r="B18" s="2" t="s">
        <v>61</v>
      </c>
      <c r="C18" s="2" t="s">
        <v>62</v>
      </c>
      <c r="D18" s="22"/>
      <c r="E18" s="22"/>
      <c r="F18" s="22"/>
      <c r="G18" s="22"/>
    </row>
    <row r="19" customFormat="false" ht="13.8" hidden="false" customHeight="false" outlineLevel="0" collapsed="false">
      <c r="A19" s="34"/>
      <c r="B19" s="35"/>
      <c r="C19" s="35"/>
      <c r="D19" s="35"/>
      <c r="E19" s="35"/>
      <c r="F19" s="35"/>
      <c r="G19" s="35"/>
    </row>
    <row r="20" customFormat="false" ht="15.8" hidden="false" customHeight="true" outlineLevel="0" collapsed="false">
      <c r="A20" s="34" t="s">
        <v>53</v>
      </c>
      <c r="B20" s="2" t="s">
        <v>58</v>
      </c>
      <c r="C20" s="2" t="s">
        <v>63</v>
      </c>
      <c r="D20" s="2" t="s">
        <v>62</v>
      </c>
      <c r="E20" s="2" t="s">
        <v>56</v>
      </c>
      <c r="F20" s="2" t="s">
        <v>64</v>
      </c>
      <c r="G20" s="35"/>
    </row>
    <row r="21" customFormat="false" ht="13.8" hidden="false" customHeight="false" outlineLevel="0" collapsed="false">
      <c r="A21" s="34"/>
      <c r="B21" s="35"/>
      <c r="C21" s="35"/>
      <c r="D21" s="35"/>
      <c r="E21" s="35"/>
      <c r="F21" s="35"/>
      <c r="G21" s="35"/>
    </row>
    <row r="22" customFormat="false" ht="13.8" hidden="false" customHeight="false" outlineLevel="0" collapsed="false">
      <c r="A22" s="34"/>
      <c r="B22" s="35"/>
      <c r="C22" s="35"/>
      <c r="D22" s="35"/>
      <c r="E22" s="35"/>
      <c r="F22" s="35"/>
      <c r="G22" s="35"/>
    </row>
    <row r="23" customFormat="false" ht="13.8" hidden="false" customHeight="false" outlineLevel="0" collapsed="false">
      <c r="A23" s="12" t="s">
        <v>65</v>
      </c>
      <c r="B23" s="12"/>
      <c r="C23" s="12"/>
      <c r="D23" s="12"/>
      <c r="E23" s="12"/>
      <c r="F23" s="12"/>
      <c r="G23" s="12"/>
    </row>
    <row r="24" customFormat="false" ht="15.8" hidden="false" customHeight="true" outlineLevel="0" collapsed="false">
      <c r="A24" s="34" t="s">
        <v>52</v>
      </c>
      <c r="B24" s="2" t="s">
        <v>66</v>
      </c>
      <c r="C24" s="2" t="s">
        <v>67</v>
      </c>
      <c r="D24" s="2" t="s">
        <v>64</v>
      </c>
      <c r="E24" s="36"/>
      <c r="F24" s="36"/>
      <c r="G24" s="36"/>
    </row>
    <row r="25" customFormat="false" ht="13.8" hidden="false" customHeight="false" outlineLevel="0" collapsed="false">
      <c r="A25" s="34"/>
      <c r="B25" s="36"/>
      <c r="C25" s="36"/>
      <c r="D25" s="36"/>
      <c r="E25" s="36"/>
      <c r="F25" s="36"/>
      <c r="G25" s="36"/>
    </row>
    <row r="26" customFormat="false" ht="13.8" hidden="false" customHeight="false" outlineLevel="0" collapsed="false">
      <c r="A26" s="34"/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A27" s="34" t="s">
        <v>53</v>
      </c>
      <c r="B27" s="2" t="s">
        <v>66</v>
      </c>
      <c r="C27" s="2" t="s">
        <v>55</v>
      </c>
      <c r="D27" s="36"/>
      <c r="E27" s="36"/>
      <c r="F27" s="36"/>
      <c r="G27" s="36"/>
    </row>
    <row r="28" customFormat="false" ht="13.8" hidden="false" customHeight="false" outlineLevel="0" collapsed="false">
      <c r="A28" s="34"/>
      <c r="B28" s="36"/>
      <c r="C28" s="36"/>
      <c r="D28" s="36"/>
      <c r="E28" s="36"/>
      <c r="F28" s="36"/>
      <c r="G28" s="36"/>
    </row>
    <row r="29" customFormat="false" ht="13.8" hidden="false" customHeight="false" outlineLevel="0" collapsed="false">
      <c r="A29" s="34"/>
      <c r="B29" s="36"/>
      <c r="C29" s="36"/>
      <c r="D29" s="36"/>
      <c r="E29" s="36"/>
      <c r="F29" s="36"/>
      <c r="G29" s="36"/>
    </row>
    <row r="30" customFormat="false" ht="13.8" hidden="false" customHeight="false" outlineLevel="0" collapsed="false">
      <c r="A30" s="12" t="s">
        <v>68</v>
      </c>
      <c r="B30" s="12"/>
      <c r="C30" s="12"/>
      <c r="D30" s="12"/>
      <c r="E30" s="12"/>
      <c r="F30" s="12"/>
      <c r="G30" s="12"/>
    </row>
    <row r="31" customFormat="false" ht="15.8" hidden="false" customHeight="true" outlineLevel="0" collapsed="false">
      <c r="A31" s="34" t="s">
        <v>52</v>
      </c>
      <c r="B31" s="2" t="s">
        <v>63</v>
      </c>
      <c r="C31" s="36"/>
      <c r="D31" s="36"/>
      <c r="E31" s="36"/>
      <c r="F31" s="36"/>
      <c r="G31" s="36"/>
    </row>
    <row r="32" customFormat="false" ht="13.8" hidden="false" customHeight="false" outlineLevel="0" collapsed="false">
      <c r="A32" s="34"/>
      <c r="B32" s="36"/>
      <c r="C32" s="36"/>
      <c r="D32" s="36"/>
      <c r="E32" s="36"/>
      <c r="F32" s="36"/>
      <c r="G32" s="36"/>
    </row>
    <row r="33" customFormat="false" ht="13.8" hidden="false" customHeight="false" outlineLevel="0" collapsed="false">
      <c r="A33" s="34"/>
      <c r="B33" s="36"/>
      <c r="C33" s="36"/>
      <c r="D33" s="36"/>
      <c r="E33" s="36"/>
      <c r="F33" s="36"/>
      <c r="G33" s="36"/>
    </row>
    <row r="34" customFormat="false" ht="15" hidden="false" customHeight="true" outlineLevel="0" collapsed="false">
      <c r="A34" s="34" t="s">
        <v>53</v>
      </c>
      <c r="B34" s="2" t="s">
        <v>57</v>
      </c>
      <c r="C34" s="2" t="s">
        <v>59</v>
      </c>
      <c r="D34" s="2" t="s">
        <v>60</v>
      </c>
      <c r="E34" s="2" t="s">
        <v>61</v>
      </c>
      <c r="F34" s="2" t="s">
        <v>67</v>
      </c>
      <c r="G34" s="36"/>
    </row>
    <row r="35" customFormat="false" ht="13.8" hidden="false" customHeight="false" outlineLevel="0" collapsed="false">
      <c r="A35" s="34"/>
      <c r="B35" s="36"/>
      <c r="C35" s="36"/>
      <c r="D35" s="36"/>
      <c r="E35" s="36"/>
      <c r="F35" s="36"/>
      <c r="G35" s="36"/>
    </row>
    <row r="36" customFormat="false" ht="13.8" hidden="false" customHeight="false" outlineLevel="0" collapsed="false">
      <c r="A36" s="34"/>
      <c r="B36" s="36"/>
      <c r="C36" s="36"/>
      <c r="D36" s="36"/>
      <c r="E36" s="36"/>
      <c r="F36" s="36"/>
      <c r="G36" s="36"/>
    </row>
  </sheetData>
  <mergeCells count="18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5:G15"/>
    <mergeCell ref="A17:A19"/>
    <mergeCell ref="A20:A22"/>
    <mergeCell ref="A23:G23"/>
    <mergeCell ref="A24:A26"/>
    <mergeCell ref="A27:A29"/>
    <mergeCell ref="A30:G30"/>
    <mergeCell ref="A31:A33"/>
    <mergeCell ref="A34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37" t="s">
        <v>34</v>
      </c>
      <c r="B1" s="37" t="str">
        <f aca="false">score_sheet!B10</f>
        <v>APPR221020269885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2026-06-19T12:04:48Z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