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\Desktop\"/>
    </mc:Choice>
  </mc:AlternateContent>
  <xr:revisionPtr revIDLastSave="0" documentId="13_ncr:1_{17F9F020-D281-43FB-9651-09CBE47BAD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re_sheet" sheetId="1" r:id="rId1"/>
    <sheet name="Batch Analysis - Tabular" sheetId="5" r:id="rId2"/>
    <sheet name="Batch Analysis - Graph" sheetId="6" r:id="rId3"/>
  </sheets>
  <definedNames>
    <definedName name="_xlnm._FilterDatabase" localSheetId="0" hidden="1">score_sheet!$A$13:$R$38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1" l="1"/>
  <c r="R15" i="1" s="1"/>
  <c r="Q15" i="1" s="1"/>
  <c r="P16" i="1"/>
  <c r="R16" i="1" s="1"/>
  <c r="Q16" i="1" s="1"/>
  <c r="P17" i="1"/>
  <c r="R17" i="1" s="1"/>
  <c r="Q17" i="1" s="1"/>
  <c r="P18" i="1"/>
  <c r="R18" i="1"/>
  <c r="Q18" i="1" s="1"/>
  <c r="P19" i="1"/>
  <c r="R19" i="1" s="1"/>
  <c r="Q19" i="1" s="1"/>
  <c r="P20" i="1"/>
  <c r="R20" i="1" s="1"/>
  <c r="Q20" i="1" s="1"/>
  <c r="P21" i="1"/>
  <c r="R21" i="1" s="1"/>
  <c r="Q21" i="1" s="1"/>
  <c r="P22" i="1"/>
  <c r="R22" i="1"/>
  <c r="Q22" i="1" s="1"/>
  <c r="P23" i="1"/>
  <c r="R23" i="1" s="1"/>
  <c r="Q23" i="1" s="1"/>
  <c r="P24" i="1"/>
  <c r="R24" i="1" s="1"/>
  <c r="Q24" i="1" s="1"/>
  <c r="P25" i="1"/>
  <c r="R25" i="1" s="1"/>
  <c r="Q25" i="1" s="1"/>
  <c r="P26" i="1"/>
  <c r="R26" i="1"/>
  <c r="Q26" i="1" s="1"/>
  <c r="P27" i="1"/>
  <c r="R27" i="1" s="1"/>
  <c r="Q27" i="1" s="1"/>
  <c r="P28" i="1"/>
  <c r="R28" i="1" s="1"/>
  <c r="Q28" i="1" s="1"/>
  <c r="P29" i="1"/>
  <c r="R29" i="1" s="1"/>
  <c r="Q29" i="1" s="1"/>
  <c r="P30" i="1"/>
  <c r="R30" i="1"/>
  <c r="Q30" i="1" s="1"/>
  <c r="P31" i="1"/>
  <c r="R31" i="1"/>
  <c r="Q31" i="1" s="1"/>
  <c r="P32" i="1"/>
  <c r="R32" i="1" s="1"/>
  <c r="Q32" i="1" s="1"/>
  <c r="P33" i="1"/>
  <c r="R33" i="1" s="1"/>
  <c r="Q33" i="1" s="1"/>
  <c r="P34" i="1"/>
  <c r="R34" i="1"/>
  <c r="Q34" i="1" s="1"/>
  <c r="P35" i="1"/>
  <c r="R35" i="1" s="1"/>
  <c r="Q35" i="1" s="1"/>
  <c r="P36" i="1"/>
  <c r="R36" i="1" s="1"/>
  <c r="Q36" i="1" s="1"/>
  <c r="P37" i="1"/>
  <c r="R37" i="1" s="1"/>
  <c r="Q37" i="1" s="1"/>
  <c r="P38" i="1"/>
  <c r="R38" i="1" s="1"/>
  <c r="Q38" i="1" s="1"/>
  <c r="P14" i="1"/>
  <c r="R14" i="1" s="1"/>
  <c r="Q14" i="1" s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M14" i="1"/>
  <c r="K14" i="1"/>
  <c r="I14" i="1"/>
  <c r="G14" i="1"/>
  <c r="G17" i="5" l="1"/>
  <c r="F17" i="5"/>
  <c r="E17" i="5"/>
  <c r="D17" i="5"/>
  <c r="C17" i="5"/>
  <c r="G16" i="5"/>
  <c r="F16" i="5"/>
  <c r="E16" i="5"/>
  <c r="D16" i="5"/>
  <c r="C16" i="5"/>
  <c r="G15" i="5"/>
  <c r="F15" i="5"/>
  <c r="E15" i="5"/>
  <c r="D15" i="5"/>
  <c r="C15" i="5"/>
  <c r="G14" i="5"/>
  <c r="F14" i="5"/>
  <c r="E14" i="5"/>
  <c r="D14" i="5"/>
  <c r="C14" i="5"/>
  <c r="G10" i="5" l="1"/>
  <c r="G9" i="5"/>
  <c r="F10" i="5"/>
  <c r="F9" i="5"/>
  <c r="G8" i="5" l="1"/>
  <c r="G13" i="5" l="1"/>
  <c r="F13" i="5"/>
  <c r="E13" i="5"/>
  <c r="D13" i="5"/>
  <c r="C13" i="5"/>
  <c r="B6" i="5" l="1"/>
  <c r="B5" i="5"/>
  <c r="B4" i="5"/>
  <c r="B3" i="5"/>
  <c r="F8" i="5"/>
  <c r="C8" i="5" l="1"/>
  <c r="B1" i="6"/>
  <c r="C10" i="5" l="1"/>
  <c r="C9" i="5"/>
  <c r="B15" i="5" l="1"/>
  <c r="B17" i="5"/>
  <c r="B14" i="5"/>
  <c r="B16" i="5"/>
  <c r="B13" i="5"/>
</calcChain>
</file>

<file path=xl/sharedStrings.xml><?xml version="1.0" encoding="utf-8"?>
<sst xmlns="http://schemas.openxmlformats.org/spreadsheetml/2006/main" count="214" uniqueCount="112">
  <si>
    <t>Assessment Agency Name</t>
  </si>
  <si>
    <t>Training Provider Name</t>
  </si>
  <si>
    <t>Qualification Pack Name/Job Role</t>
  </si>
  <si>
    <t>State</t>
  </si>
  <si>
    <t>City</t>
  </si>
  <si>
    <t>Batch ID</t>
  </si>
  <si>
    <t>Trainee Name</t>
  </si>
  <si>
    <t>Assessment Date</t>
  </si>
  <si>
    <t>Candidate ID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</si>
  <si>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</si>
  <si>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</si>
  <si>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</si>
  <si>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</si>
  <si>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</si>
  <si>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</si>
  <si>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</si>
  <si>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Total</t>
  </si>
  <si>
    <t>Enrolled</t>
  </si>
  <si>
    <t>Appeared</t>
  </si>
  <si>
    <t>Passed</t>
  </si>
  <si>
    <t>NOS SUMMARY</t>
  </si>
  <si>
    <t>% Students Passed 
(On Appeared)</t>
  </si>
  <si>
    <t>WEAK PCs (AVERAGE SCORE LESS THAN 50%)</t>
  </si>
  <si>
    <t>STRONG PCs (AVERAGE SCORE MORE THAN 70%)</t>
  </si>
  <si>
    <t>Overall %</t>
  </si>
  <si>
    <t>Gender Wise Analysis</t>
  </si>
  <si>
    <t>Male</t>
  </si>
  <si>
    <t>Female</t>
  </si>
  <si>
    <t>Gender</t>
  </si>
  <si>
    <t>Pass/Fail</t>
  </si>
  <si>
    <t>Result of QP (Pass/Fail)</t>
  </si>
  <si>
    <t xml:space="preserve">Mean </t>
  </si>
  <si>
    <t xml:space="preserve">Maximum Obtained </t>
  </si>
  <si>
    <t xml:space="preserve">SD </t>
  </si>
  <si>
    <t>Qualification Code</t>
  </si>
  <si>
    <t>Scheme Name</t>
  </si>
  <si>
    <t>Center ID</t>
  </si>
  <si>
    <t>Moderately weak PCs (AVERAGE SCORE BETWEEN 50-70%)</t>
  </si>
  <si>
    <t xml:space="preserve">Minimum Obtained </t>
  </si>
  <si>
    <t xml:space="preserve">Median  </t>
  </si>
  <si>
    <t>Ginger Webs Pvt. Ltd.</t>
  </si>
  <si>
    <t>NA</t>
  </si>
  <si>
    <t>Assessor Name/AR ID</t>
  </si>
  <si>
    <t>Digital Mitra</t>
  </si>
  <si>
    <t>SSC/Q2212</t>
  </si>
  <si>
    <t>SSC/N2204 - Score</t>
  </si>
  <si>
    <t>SSC/N2205 -Score</t>
  </si>
  <si>
    <t>SSC/N2206 - Score</t>
  </si>
  <si>
    <t>SSC/N2207 - Score</t>
  </si>
  <si>
    <t>DGT/VSQ/N0101 -Score</t>
  </si>
  <si>
    <t>SSC/N2204</t>
  </si>
  <si>
    <t>SSC/N2205</t>
  </si>
  <si>
    <t>SSC/N2206</t>
  </si>
  <si>
    <t>SSC/N2207</t>
  </si>
  <si>
    <t>DGT/VSQ/N0101</t>
  </si>
  <si>
    <t>TPA0221220269705</t>
  </si>
  <si>
    <t>TPA</t>
  </si>
  <si>
    <t>NITCON LIMITED</t>
  </si>
  <si>
    <t>Maharashtra</t>
  </si>
  <si>
    <t>Nandurbar</t>
  </si>
  <si>
    <t>AR16214 &amp; Akshay Kumar</t>
  </si>
  <si>
    <t>Kalpana Ambarsing Pawara</t>
  </si>
  <si>
    <t>Parabati Virasing Rawatale</t>
  </si>
  <si>
    <t>Roshani Rubabsingh Bhil</t>
  </si>
  <si>
    <t>Shakila Goma Padvi</t>
  </si>
  <si>
    <t>Sharmila Ansing Pawara</t>
  </si>
  <si>
    <t>Valvi Nima Dilip</t>
  </si>
  <si>
    <t>Anjali Uga Jadhav</t>
  </si>
  <si>
    <t>Jatana Vinod Pawara</t>
  </si>
  <si>
    <t>Nerkila Feja Patle</t>
  </si>
  <si>
    <t>Puja Ramesh Pawara</t>
  </si>
  <si>
    <t>Namrata Hiraman Nikumbe</t>
  </si>
  <si>
    <t>Neha Daga Kapure</t>
  </si>
  <si>
    <t>Londhe Priti Siddhant</t>
  </si>
  <si>
    <t>Priyanka Rahul Agale</t>
  </si>
  <si>
    <t>Rajeshree Janga Birare</t>
  </si>
  <si>
    <t>Ritu Ravindra Barde</t>
  </si>
  <si>
    <t>Sonali Shravan Birhade</t>
  </si>
  <si>
    <t>Vaishali Dinesh Nikam</t>
  </si>
  <si>
    <t>Ashwini Vishnu Mahale</t>
  </si>
  <si>
    <t>Dipali Shivaji Dhongade</t>
  </si>
  <si>
    <t>Tushar Dadabhai Panpatil</t>
  </si>
  <si>
    <t>Aditya Uttam Balsane</t>
  </si>
  <si>
    <t>Sanket Pandurang Bharit</t>
  </si>
  <si>
    <t>Arun Vishvanath Mekale</t>
  </si>
  <si>
    <t>Gangadhar Prkash Ganore</t>
  </si>
  <si>
    <t>F</t>
  </si>
  <si>
    <t>M</t>
  </si>
  <si>
    <t>-</t>
  </si>
  <si>
    <t>PC3</t>
  </si>
  <si>
    <t>PC5</t>
  </si>
  <si>
    <t>PC10</t>
  </si>
  <si>
    <t>PC14</t>
  </si>
  <si>
    <t>PC20</t>
  </si>
  <si>
    <t>PC23</t>
  </si>
  <si>
    <t>PC27</t>
  </si>
  <si>
    <t>PC18</t>
  </si>
  <si>
    <t>PC19</t>
  </si>
  <si>
    <t>PC24</t>
  </si>
  <si>
    <t>PC1</t>
  </si>
  <si>
    <t>PC6</t>
  </si>
  <si>
    <t>PC12</t>
  </si>
  <si>
    <t>PC15</t>
  </si>
  <si>
    <t>PC4</t>
  </si>
  <si>
    <t>PC7</t>
  </si>
  <si>
    <t>PC11</t>
  </si>
  <si>
    <t>PC8</t>
  </si>
  <si>
    <t>PC16</t>
  </si>
  <si>
    <t>PC22</t>
  </si>
  <si>
    <t>PC21</t>
  </si>
  <si>
    <t>PC2</t>
  </si>
  <si>
    <t>PC9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</si>
</sst>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/>
    </xf>
    <xf numFmtId="0" fontId="19" fillId="0" borderId="10" xfId="0" applyFont="1" applyBorder="1"/>
    <xf numFmtId="0" fontId="20" fillId="33" borderId="10" xfId="0" applyFont="1" applyFill="1" applyBorder="1"/>
    <xf numFmtId="0" fontId="19" fillId="0" borderId="10" xfId="0" applyFont="1" applyBorder="1" applyAlignment="1">
      <alignment vertical="center"/>
    </xf>
    <xf numFmtId="1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wrapText="1"/>
    </xf>
    <xf numFmtId="0" fontId="20" fillId="33" borderId="15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6" fillId="0" borderId="0" xfId="0" applyFont="1"/>
    <xf numFmtId="0" fontId="20" fillId="0" borderId="10" xfId="0" applyFont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wrapText="1"/>
    </xf>
    <xf numFmtId="2" fontId="20" fillId="0" borderId="10" xfId="0" applyNumberFormat="1" applyFont="1" applyBorder="1" applyAlignment="1">
      <alignment horizontal="center"/>
    </xf>
    <xf numFmtId="2" fontId="20" fillId="0" borderId="10" xfId="42" applyNumberFormat="1" applyFont="1" applyFill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0" fillId="0" borderId="12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19" fillId="0" borderId="10" xfId="0" applyFont="1" applyBorder="1" applyAlignment="1">
      <alignment horizontal="left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164" fontId="20" fillId="0" borderId="12" xfId="0" applyNumberFormat="1" applyFont="1" applyBorder="1" applyAlignment="1">
      <alignment horizontal="left"/>
    </xf>
    <xf numFmtId="164" fontId="20" fillId="0" borderId="13" xfId="0" applyNumberFormat="1" applyFont="1" applyBorder="1" applyAlignment="1">
      <alignment horizontal="left"/>
    </xf>
    <xf numFmtId="164" fontId="20" fillId="0" borderId="14" xfId="0" applyNumberFormat="1" applyFont="1" applyBorder="1" applyAlignment="1">
      <alignment horizontal="left"/>
    </xf>
    <xf numFmtId="0" fontId="19" fillId="0" borderId="15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9" fillId="34" borderId="10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left"/>
    </xf>
    <xf numFmtId="0" fontId="20" fillId="33" borderId="14" xfId="0" applyFont="1" applyFill="1" applyBorder="1" applyAlignment="1">
      <alignment horizontal="left"/>
    </xf>
    <xf numFmtId="9" fontId="20" fillId="33" borderId="12" xfId="0" applyNumberFormat="1" applyFont="1" applyFill="1" applyBorder="1" applyAlignment="1">
      <alignment horizontal="left"/>
    </xf>
    <xf numFmtId="0" fontId="20" fillId="33" borderId="13" xfId="0" applyFont="1" applyFill="1" applyBorder="1" applyAlignment="1">
      <alignment horizontal="left"/>
    </xf>
    <xf numFmtId="0" fontId="0" fillId="0" borderId="10" xfId="0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1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8" fillId="0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/>
    </xf>
    <xf numFmtId="14" fontId="0" fillId="0" borderId="10" xfId="0" applyNumberFormat="1" applyFont="1" applyFill="1" applyBorder="1" applyAlignment="1">
      <alignment horizontal="center"/>
    </xf>
    <xf numFmtId="2" fontId="0" fillId="0" borderId="10" xfId="0" applyNumberFormat="1" applyFont="1" applyFill="1" applyBorder="1" applyAlignment="1">
      <alignment horizontal="center"/>
    </xf>
    <xf numFmtId="0" fontId="22" fillId="0" borderId="2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/>
    <xf numFmtId="0" fontId="21" fillId="0" borderId="10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B-4AB6-B47C-7A0D3EEADE4A}"/>
            </c:ext>
          </c:extLst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B-4AB6-B47C-7A0D3EEADE4A}"/>
            </c:ext>
          </c:extLst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B-4AB6-B47C-7A0D3EEADE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945024"/>
        <c:axId val="200950912"/>
      </c:barChart>
      <c:catAx>
        <c:axId val="200945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950912"/>
        <c:crosses val="autoZero"/>
        <c:auto val="1"/>
        <c:lblAlgn val="ctr"/>
        <c:lblOffset val="100"/>
        <c:noMultiLvlLbl val="0"/>
      </c:catAx>
      <c:valAx>
        <c:axId val="2009509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4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866121885993002E-2"/>
          <c:y val="0.12843267108167772"/>
          <c:w val="0.90540861031312492"/>
          <c:h val="0.5522577393057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0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B-4317-8D9C-D337FEBBBF3E}"/>
            </c:ext>
          </c:extLst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0.00</c:formatCode>
                <c:ptCount val="5"/>
                <c:pt idx="0">
                  <c:v>28.075999999999993</c:v>
                </c:pt>
                <c:pt idx="1">
                  <c:v>27.232000000000006</c:v>
                </c:pt>
                <c:pt idx="2">
                  <c:v>26.515999999999998</c:v>
                </c:pt>
                <c:pt idx="3">
                  <c:v>23.404000000000007</c:v>
                </c:pt>
                <c:pt idx="4">
                  <c:v>10.44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B-4317-8D9C-D337FEBBBF3E}"/>
            </c:ext>
          </c:extLst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B-4317-8D9C-D337FEBBBF3E}"/>
            </c:ext>
          </c:extLst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8.8300220750551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AB-4317-8D9C-D337FEBBB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0.00</c:formatCode>
                <c:ptCount val="5"/>
                <c:pt idx="0">
                  <c:v>68.5</c:v>
                </c:pt>
                <c:pt idx="1">
                  <c:v>67.8</c:v>
                </c:pt>
                <c:pt idx="2">
                  <c:v>67.599999999999994</c:v>
                </c:pt>
                <c:pt idx="3">
                  <c:v>59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B-4317-8D9C-D337FEBBBF3E}"/>
            </c:ext>
          </c:extLst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0.00</c:formatCode>
                <c:ptCount val="5"/>
                <c:pt idx="0">
                  <c:v>29.2</c:v>
                </c:pt>
                <c:pt idx="1">
                  <c:v>29.1</c:v>
                </c:pt>
                <c:pt idx="2">
                  <c:v>29.9</c:v>
                </c:pt>
                <c:pt idx="3">
                  <c:v>26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B-4317-8D9C-D337FEBBBF3E}"/>
            </c:ext>
          </c:extLst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0.00</c:formatCode>
                <c:ptCount val="5"/>
                <c:pt idx="0">
                  <c:v>18.410894166226694</c:v>
                </c:pt>
                <c:pt idx="1">
                  <c:v>17.037152813777293</c:v>
                </c:pt>
                <c:pt idx="2">
                  <c:v>16.878783842445518</c:v>
                </c:pt>
                <c:pt idx="3">
                  <c:v>15.410813865594504</c:v>
                </c:pt>
                <c:pt idx="4">
                  <c:v>7.205997502081166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AB-4317-8D9C-D337FEBB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439488"/>
        <c:axId val="201449472"/>
      </c:barChart>
      <c:catAx>
        <c:axId val="20143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49472"/>
        <c:crosses val="autoZero"/>
        <c:auto val="1"/>
        <c:lblAlgn val="ctr"/>
        <c:lblOffset val="100"/>
        <c:noMultiLvlLbl val="0"/>
      </c:catAx>
      <c:valAx>
        <c:axId val="2014494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8-4FAB-92D3-EA1FE57EDF54}"/>
            </c:ext>
          </c:extLst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15</c:v>
                </c:pt>
                <c:pt idx="1">
                  <c:v>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8-4FAB-92D3-EA1FE57E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10112"/>
        <c:axId val="201216000"/>
      </c:barChart>
      <c:catAx>
        <c:axId val="2012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6000"/>
        <c:crosses val="autoZero"/>
        <c:auto val="1"/>
        <c:lblAlgn val="ctr"/>
        <c:lblOffset val="100"/>
        <c:noMultiLvlLbl val="0"/>
      </c:catAx>
      <c:valAx>
        <c:axId val="20121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192405</xdr:colOff>
      <xdr:row>2</xdr:row>
      <xdr:rowOff>85725</xdr:rowOff>
    </xdr:from>
    <xdr:to>
      <xdr:col>7</xdr:col>
      <xdr:colOff>325755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483870</xdr:colOff>
      <xdr:row>2</xdr:row>
      <xdr:rowOff>85725</xdr:rowOff>
    </xdr:from>
    <xdr:to>
      <xdr:col>20</xdr:col>
      <xdr:colOff>38100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293370</xdr:colOff>
      <xdr:row>2</xdr:row>
      <xdr:rowOff>47625</xdr:rowOff>
    </xdr:from>
    <xdr:to>
      <xdr:col>27</xdr:col>
      <xdr:colOff>598170</xdr:colOff>
      <xdr:row>17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51D5ED-3E91-4A0D-970F-0D228C68F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showGridLines="0" tabSelected="1" zoomScale="76" zoomScaleNormal="85" workbookViewId="0">
      <selection activeCell="E8" sqref="E8"/>
    </sheetView>
  </sheetViews>
  <sheetFormatPr defaultColWidth="9.1796875" defaultRowHeight="14.5" x14ac:dyDescent="0.35"/>
  <cols>
    <col min="1" max="1" width="33.1796875" style="52" bestFit="1" customWidth="1"/>
    <col min="2" max="2" width="31.54296875" style="52" customWidth="1"/>
    <col min="3" max="3" width="18" style="52" customWidth="1"/>
    <col min="4" max="4" width="10.81640625" style="52" bestFit="1" customWidth="1"/>
    <col min="5" max="5" width="16.26953125" style="52" bestFit="1" customWidth="1"/>
    <col min="6" max="6" width="13.81640625" style="52" customWidth="1"/>
    <col min="7" max="7" width="12.1796875" style="52" bestFit="1" customWidth="1"/>
    <col min="8" max="8" width="11.7265625" style="52" customWidth="1"/>
    <col min="9" max="9" width="12.1796875" style="52" bestFit="1" customWidth="1"/>
    <col min="10" max="10" width="12.7265625" style="52" customWidth="1"/>
    <col min="11" max="11" width="12.1796875" style="52" bestFit="1" customWidth="1"/>
    <col min="12" max="12" width="12.453125" style="52" customWidth="1"/>
    <col min="13" max="13" width="12.1796875" style="52" bestFit="1" customWidth="1"/>
    <col min="14" max="14" width="11.54296875" style="52" customWidth="1"/>
    <col min="15" max="15" width="12.1796875" style="52" bestFit="1" customWidth="1"/>
    <col min="16" max="16" width="13.26953125" style="52" customWidth="1"/>
    <col min="17" max="17" width="15.81640625" style="52" bestFit="1" customWidth="1"/>
    <col min="18" max="18" width="12.453125" style="52" bestFit="1" customWidth="1"/>
    <col min="19" max="16384" width="9.1796875" style="52"/>
  </cols>
  <sheetData>
    <row r="1" spans="1:18" x14ac:dyDescent="0.35">
      <c r="A1" s="51" t="s">
        <v>0</v>
      </c>
      <c r="B1" s="51" t="s">
        <v>40</v>
      </c>
    </row>
    <row r="2" spans="1:18" x14ac:dyDescent="0.35">
      <c r="A2" s="51" t="s">
        <v>1</v>
      </c>
      <c r="B2" s="51" t="s">
        <v>57</v>
      </c>
    </row>
    <row r="3" spans="1:18" x14ac:dyDescent="0.35">
      <c r="A3" s="51" t="s">
        <v>2</v>
      </c>
      <c r="B3" s="53" t="s">
        <v>43</v>
      </c>
    </row>
    <row r="4" spans="1:18" x14ac:dyDescent="0.35">
      <c r="A4" s="51" t="s">
        <v>34</v>
      </c>
      <c r="B4" s="51" t="s">
        <v>44</v>
      </c>
    </row>
    <row r="5" spans="1:18" x14ac:dyDescent="0.35">
      <c r="A5" s="51" t="s">
        <v>42</v>
      </c>
      <c r="B5" s="51" t="s">
        <v>60</v>
      </c>
    </row>
    <row r="6" spans="1:18" x14ac:dyDescent="0.35">
      <c r="A6" s="51" t="s">
        <v>35</v>
      </c>
      <c r="B6" s="51" t="s">
        <v>56</v>
      </c>
    </row>
    <row r="7" spans="1:18" x14ac:dyDescent="0.35">
      <c r="A7" s="51" t="s">
        <v>3</v>
      </c>
      <c r="B7" s="51" t="s">
        <v>58</v>
      </c>
    </row>
    <row r="8" spans="1:18" x14ac:dyDescent="0.35">
      <c r="A8" s="51" t="s">
        <v>4</v>
      </c>
      <c r="B8" s="51" t="s">
        <v>59</v>
      </c>
    </row>
    <row r="9" spans="1:18" x14ac:dyDescent="0.35">
      <c r="A9" s="51" t="s">
        <v>36</v>
      </c>
      <c r="B9" s="51" t="s">
        <v>41</v>
      </c>
    </row>
    <row r="10" spans="1:18" x14ac:dyDescent="0.35">
      <c r="A10" s="51" t="s">
        <v>5</v>
      </c>
      <c r="B10" s="51" t="s">
        <v>55</v>
      </c>
    </row>
    <row r="11" spans="1:18" x14ac:dyDescent="0.35">
      <c r="A11" s="54"/>
      <c r="B11" s="54"/>
    </row>
    <row r="13" spans="1:18" ht="29" x14ac:dyDescent="0.35">
      <c r="A13" s="55" t="s">
        <v>5</v>
      </c>
      <c r="B13" s="55" t="s">
        <v>6</v>
      </c>
      <c r="C13" s="55" t="s">
        <v>8</v>
      </c>
      <c r="D13" s="55" t="s">
        <v>28</v>
      </c>
      <c r="E13" s="55" t="s">
        <v>7</v>
      </c>
      <c r="F13" s="56" t="s">
        <v>45</v>
      </c>
      <c r="G13" s="56" t="s">
        <v>29</v>
      </c>
      <c r="H13" s="56" t="s">
        <v>46</v>
      </c>
      <c r="I13" s="56" t="s">
        <v>29</v>
      </c>
      <c r="J13" s="56" t="s">
        <v>47</v>
      </c>
      <c r="K13" s="56" t="s">
        <v>29</v>
      </c>
      <c r="L13" s="56" t="s">
        <v>48</v>
      </c>
      <c r="M13" s="56" t="s">
        <v>29</v>
      </c>
      <c r="N13" s="56" t="s">
        <v>49</v>
      </c>
      <c r="O13" s="56" t="s">
        <v>29</v>
      </c>
      <c r="P13" s="56" t="s">
        <v>16</v>
      </c>
      <c r="Q13" s="56" t="s">
        <v>30</v>
      </c>
      <c r="R13" s="56" t="s">
        <v>24</v>
      </c>
    </row>
    <row r="14" spans="1:18" x14ac:dyDescent="0.35">
      <c r="A14" s="57" t="s">
        <v>55</v>
      </c>
      <c r="B14" s="58" t="s">
        <v>61</v>
      </c>
      <c r="C14" s="58">
        <v>7381</v>
      </c>
      <c r="D14" s="58" t="s">
        <v>86</v>
      </c>
      <c r="E14" s="59">
        <v>46219</v>
      </c>
      <c r="F14" s="58">
        <v>43.2</v>
      </c>
      <c r="G14" s="51" t="str">
        <f>IF(F14&gt;=50,"PASS",IF(F14&gt;0,"FAIL", "ABSENT"))</f>
        <v>FAIL</v>
      </c>
      <c r="H14" s="58">
        <v>52.1</v>
      </c>
      <c r="I14" s="51" t="str">
        <f>IF(H14&gt;=50,"PASS",IF(H14&gt;0,"FAIL", "ABSENT"))</f>
        <v>PASS</v>
      </c>
      <c r="J14" s="58">
        <v>16.2</v>
      </c>
      <c r="K14" s="51" t="str">
        <f>IF(J14&gt;=50,"PASS",IF(J14&gt;0,"FAIL", "ABSENT"))</f>
        <v>FAIL</v>
      </c>
      <c r="L14" s="58">
        <v>30</v>
      </c>
      <c r="M14" s="51" t="str">
        <f>IF(L14&gt;=50,"PASS",IF(L14&gt;0,"FAIL", "ABSENT"))</f>
        <v>FAIL</v>
      </c>
      <c r="N14" s="58">
        <v>9</v>
      </c>
      <c r="O14" s="51" t="str">
        <f>IF(N14&gt;=25,"PASS",IF(N14&gt;0,"FAIL", "ABSENT"))</f>
        <v>FAIL</v>
      </c>
      <c r="P14" s="57">
        <f>F14+H14+J14+L14+N14</f>
        <v>150.5</v>
      </c>
      <c r="Q14" s="51" t="str">
        <f>IF(R14&gt;=50,"PASS",IF(R14&gt;0,"FAIL","ABSENT"))</f>
        <v>FAIL</v>
      </c>
      <c r="R14" s="60">
        <f>P14/450*100</f>
        <v>33.444444444444443</v>
      </c>
    </row>
    <row r="15" spans="1:18" x14ac:dyDescent="0.35">
      <c r="A15" s="57" t="s">
        <v>55</v>
      </c>
      <c r="B15" s="58" t="s">
        <v>62</v>
      </c>
      <c r="C15" s="58">
        <v>7382</v>
      </c>
      <c r="D15" s="58" t="s">
        <v>88</v>
      </c>
      <c r="E15" s="59">
        <v>46219</v>
      </c>
      <c r="F15" s="58">
        <v>0</v>
      </c>
      <c r="G15" s="51" t="str">
        <f t="shared" ref="G15:G38" si="0">IF(F15&gt;=50,"PASS",IF(F15&gt;0,"FAIL", "ABSENT"))</f>
        <v>ABSENT</v>
      </c>
      <c r="H15" s="58">
        <v>0</v>
      </c>
      <c r="I15" s="51" t="str">
        <f t="shared" ref="I15:I38" si="1">IF(H15&gt;=50,"PASS",IF(H15&gt;0,"FAIL", "ABSENT"))</f>
        <v>ABSENT</v>
      </c>
      <c r="J15" s="58">
        <v>0</v>
      </c>
      <c r="K15" s="51" t="str">
        <f t="shared" ref="K15:K38" si="2">IF(J15&gt;=50,"PASS",IF(J15&gt;0,"FAIL", "ABSENT"))</f>
        <v>ABSENT</v>
      </c>
      <c r="L15" s="58">
        <v>0</v>
      </c>
      <c r="M15" s="51" t="str">
        <f t="shared" ref="M15:M38" si="3">IF(L15&gt;=50,"PASS",IF(L15&gt;0,"FAIL", "ABSENT"))</f>
        <v>ABSENT</v>
      </c>
      <c r="N15" s="58">
        <v>0</v>
      </c>
      <c r="O15" s="51" t="str">
        <f t="shared" ref="O15:O38" si="4">IF(N15&gt;=25,"PASS",IF(N15&gt;0,"FAIL", "ABSENT"))</f>
        <v>ABSENT</v>
      </c>
      <c r="P15" s="57">
        <f t="shared" ref="P15:P38" si="5">F15+H15+J15+L15+N15</f>
        <v>0</v>
      </c>
      <c r="Q15" s="51" t="str">
        <f t="shared" ref="Q15:Q38" si="6">IF(R15&gt;=50,"PASS",IF(R15&gt;0,"FAIL","ABSENT"))</f>
        <v>ABSENT</v>
      </c>
      <c r="R15" s="60">
        <f t="shared" ref="R15:R38" si="7">P15/450*100</f>
        <v>0</v>
      </c>
    </row>
    <row r="16" spans="1:18" x14ac:dyDescent="0.35">
      <c r="A16" s="57" t="s">
        <v>55</v>
      </c>
      <c r="B16" s="58" t="s">
        <v>63</v>
      </c>
      <c r="C16" s="58">
        <v>7383</v>
      </c>
      <c r="D16" s="58" t="s">
        <v>86</v>
      </c>
      <c r="E16" s="59">
        <v>46219</v>
      </c>
      <c r="F16" s="58">
        <v>43.2</v>
      </c>
      <c r="G16" s="51" t="str">
        <f t="shared" si="0"/>
        <v>FAIL</v>
      </c>
      <c r="H16" s="58">
        <v>33.5</v>
      </c>
      <c r="I16" s="51" t="str">
        <f t="shared" si="1"/>
        <v>FAIL</v>
      </c>
      <c r="J16" s="58">
        <v>19.2</v>
      </c>
      <c r="K16" s="51" t="str">
        <f t="shared" si="2"/>
        <v>FAIL</v>
      </c>
      <c r="L16" s="58">
        <v>36.6</v>
      </c>
      <c r="M16" s="51" t="str">
        <f t="shared" si="3"/>
        <v>FAIL</v>
      </c>
      <c r="N16" s="58">
        <v>13</v>
      </c>
      <c r="O16" s="51" t="str">
        <f t="shared" si="4"/>
        <v>FAIL</v>
      </c>
      <c r="P16" s="57">
        <f t="shared" si="5"/>
        <v>145.5</v>
      </c>
      <c r="Q16" s="51" t="str">
        <f t="shared" si="6"/>
        <v>FAIL</v>
      </c>
      <c r="R16" s="60">
        <f t="shared" si="7"/>
        <v>32.333333333333329</v>
      </c>
    </row>
    <row r="17" spans="1:18" x14ac:dyDescent="0.35">
      <c r="A17" s="57" t="s">
        <v>55</v>
      </c>
      <c r="B17" s="58" t="s">
        <v>64</v>
      </c>
      <c r="C17" s="58">
        <v>7384</v>
      </c>
      <c r="D17" s="58" t="s">
        <v>88</v>
      </c>
      <c r="E17" s="59">
        <v>46219</v>
      </c>
      <c r="F17" s="58">
        <v>0</v>
      </c>
      <c r="G17" s="51" t="str">
        <f t="shared" si="0"/>
        <v>ABSENT</v>
      </c>
      <c r="H17" s="58">
        <v>0</v>
      </c>
      <c r="I17" s="51" t="str">
        <f t="shared" si="1"/>
        <v>ABSENT</v>
      </c>
      <c r="J17" s="58">
        <v>0</v>
      </c>
      <c r="K17" s="51" t="str">
        <f t="shared" si="2"/>
        <v>ABSENT</v>
      </c>
      <c r="L17" s="58">
        <v>0</v>
      </c>
      <c r="M17" s="51" t="str">
        <f t="shared" si="3"/>
        <v>ABSENT</v>
      </c>
      <c r="N17" s="58">
        <v>0</v>
      </c>
      <c r="O17" s="51" t="str">
        <f t="shared" si="4"/>
        <v>ABSENT</v>
      </c>
      <c r="P17" s="57">
        <f t="shared" si="5"/>
        <v>0</v>
      </c>
      <c r="Q17" s="51" t="str">
        <f t="shared" si="6"/>
        <v>ABSENT</v>
      </c>
      <c r="R17" s="60">
        <f t="shared" si="7"/>
        <v>0</v>
      </c>
    </row>
    <row r="18" spans="1:18" x14ac:dyDescent="0.35">
      <c r="A18" s="57" t="s">
        <v>55</v>
      </c>
      <c r="B18" s="58" t="s">
        <v>65</v>
      </c>
      <c r="C18" s="58">
        <v>7385</v>
      </c>
      <c r="D18" s="58" t="s">
        <v>88</v>
      </c>
      <c r="E18" s="59">
        <v>46219</v>
      </c>
      <c r="F18" s="58">
        <v>0</v>
      </c>
      <c r="G18" s="51" t="str">
        <f t="shared" si="0"/>
        <v>ABSENT</v>
      </c>
      <c r="H18" s="58">
        <v>0</v>
      </c>
      <c r="I18" s="51" t="str">
        <f t="shared" si="1"/>
        <v>ABSENT</v>
      </c>
      <c r="J18" s="58">
        <v>0</v>
      </c>
      <c r="K18" s="51" t="str">
        <f t="shared" si="2"/>
        <v>ABSENT</v>
      </c>
      <c r="L18" s="58">
        <v>0</v>
      </c>
      <c r="M18" s="51" t="str">
        <f t="shared" si="3"/>
        <v>ABSENT</v>
      </c>
      <c r="N18" s="58">
        <v>0</v>
      </c>
      <c r="O18" s="51" t="str">
        <f t="shared" si="4"/>
        <v>ABSENT</v>
      </c>
      <c r="P18" s="57">
        <f t="shared" si="5"/>
        <v>0</v>
      </c>
      <c r="Q18" s="51" t="str">
        <f t="shared" si="6"/>
        <v>ABSENT</v>
      </c>
      <c r="R18" s="60">
        <f t="shared" si="7"/>
        <v>0</v>
      </c>
    </row>
    <row r="19" spans="1:18" x14ac:dyDescent="0.35">
      <c r="A19" s="57" t="s">
        <v>55</v>
      </c>
      <c r="B19" s="58" t="s">
        <v>66</v>
      </c>
      <c r="C19" s="58">
        <v>7386</v>
      </c>
      <c r="D19" s="58" t="s">
        <v>88</v>
      </c>
      <c r="E19" s="59">
        <v>46219</v>
      </c>
      <c r="F19" s="58">
        <v>0</v>
      </c>
      <c r="G19" s="51" t="str">
        <f t="shared" si="0"/>
        <v>ABSENT</v>
      </c>
      <c r="H19" s="58">
        <v>0</v>
      </c>
      <c r="I19" s="51" t="str">
        <f t="shared" si="1"/>
        <v>ABSENT</v>
      </c>
      <c r="J19" s="58">
        <v>0</v>
      </c>
      <c r="K19" s="51" t="str">
        <f t="shared" si="2"/>
        <v>ABSENT</v>
      </c>
      <c r="L19" s="58">
        <v>0</v>
      </c>
      <c r="M19" s="51" t="str">
        <f t="shared" si="3"/>
        <v>ABSENT</v>
      </c>
      <c r="N19" s="58">
        <v>0</v>
      </c>
      <c r="O19" s="51" t="str">
        <f t="shared" si="4"/>
        <v>ABSENT</v>
      </c>
      <c r="P19" s="57">
        <f t="shared" si="5"/>
        <v>0</v>
      </c>
      <c r="Q19" s="51" t="str">
        <f t="shared" si="6"/>
        <v>ABSENT</v>
      </c>
      <c r="R19" s="60">
        <f t="shared" si="7"/>
        <v>0</v>
      </c>
    </row>
    <row r="20" spans="1:18" x14ac:dyDescent="0.35">
      <c r="A20" s="57" t="s">
        <v>55</v>
      </c>
      <c r="B20" s="58" t="s">
        <v>67</v>
      </c>
      <c r="C20" s="58">
        <v>7387</v>
      </c>
      <c r="D20" s="58" t="s">
        <v>86</v>
      </c>
      <c r="E20" s="59">
        <v>46219</v>
      </c>
      <c r="F20" s="58">
        <v>37.4</v>
      </c>
      <c r="G20" s="51" t="str">
        <f t="shared" si="0"/>
        <v>FAIL</v>
      </c>
      <c r="H20" s="58">
        <v>18.5</v>
      </c>
      <c r="I20" s="51" t="str">
        <f t="shared" si="1"/>
        <v>FAIL</v>
      </c>
      <c r="J20" s="58">
        <v>42.9</v>
      </c>
      <c r="K20" s="51" t="str">
        <f t="shared" si="2"/>
        <v>FAIL</v>
      </c>
      <c r="L20" s="58">
        <v>27</v>
      </c>
      <c r="M20" s="51" t="str">
        <f t="shared" si="3"/>
        <v>FAIL</v>
      </c>
      <c r="N20" s="58">
        <v>8</v>
      </c>
      <c r="O20" s="51" t="str">
        <f t="shared" si="4"/>
        <v>FAIL</v>
      </c>
      <c r="P20" s="57">
        <f t="shared" si="5"/>
        <v>133.80000000000001</v>
      </c>
      <c r="Q20" s="51" t="str">
        <f t="shared" si="6"/>
        <v>FAIL</v>
      </c>
      <c r="R20" s="60">
        <f t="shared" si="7"/>
        <v>29.733333333333334</v>
      </c>
    </row>
    <row r="21" spans="1:18" x14ac:dyDescent="0.35">
      <c r="A21" s="57" t="s">
        <v>55</v>
      </c>
      <c r="B21" s="58" t="s">
        <v>68</v>
      </c>
      <c r="C21" s="58">
        <v>7388</v>
      </c>
      <c r="D21" s="58" t="s">
        <v>86</v>
      </c>
      <c r="E21" s="59">
        <v>46219</v>
      </c>
      <c r="F21" s="58">
        <v>29.2</v>
      </c>
      <c r="G21" s="51" t="str">
        <f t="shared" si="0"/>
        <v>FAIL</v>
      </c>
      <c r="H21" s="58">
        <v>33.5</v>
      </c>
      <c r="I21" s="51" t="str">
        <f t="shared" si="1"/>
        <v>FAIL</v>
      </c>
      <c r="J21" s="58">
        <v>21.3</v>
      </c>
      <c r="K21" s="51" t="str">
        <f t="shared" si="2"/>
        <v>FAIL</v>
      </c>
      <c r="L21" s="58">
        <v>36.200000000000003</v>
      </c>
      <c r="M21" s="51" t="str">
        <f t="shared" si="3"/>
        <v>FAIL</v>
      </c>
      <c r="N21" s="58">
        <v>5</v>
      </c>
      <c r="O21" s="51" t="str">
        <f t="shared" si="4"/>
        <v>FAIL</v>
      </c>
      <c r="P21" s="57">
        <f t="shared" si="5"/>
        <v>125.2</v>
      </c>
      <c r="Q21" s="51" t="str">
        <f t="shared" si="6"/>
        <v>FAIL</v>
      </c>
      <c r="R21" s="60">
        <f t="shared" si="7"/>
        <v>27.822222222222219</v>
      </c>
    </row>
    <row r="22" spans="1:18" x14ac:dyDescent="0.35">
      <c r="A22" s="57" t="s">
        <v>55</v>
      </c>
      <c r="B22" s="58" t="s">
        <v>69</v>
      </c>
      <c r="C22" s="58">
        <v>7389</v>
      </c>
      <c r="D22" s="58" t="s">
        <v>86</v>
      </c>
      <c r="E22" s="59">
        <v>46219</v>
      </c>
      <c r="F22" s="58">
        <v>40.700000000000003</v>
      </c>
      <c r="G22" s="51" t="str">
        <f t="shared" si="0"/>
        <v>FAIL</v>
      </c>
      <c r="H22" s="58">
        <v>28.7</v>
      </c>
      <c r="I22" s="51" t="str">
        <f t="shared" si="1"/>
        <v>FAIL</v>
      </c>
      <c r="J22" s="58">
        <v>31</v>
      </c>
      <c r="K22" s="51" t="str">
        <f t="shared" si="2"/>
        <v>FAIL</v>
      </c>
      <c r="L22" s="58">
        <v>27</v>
      </c>
      <c r="M22" s="51" t="str">
        <f t="shared" si="3"/>
        <v>FAIL</v>
      </c>
      <c r="N22" s="58">
        <v>3</v>
      </c>
      <c r="O22" s="51" t="str">
        <f t="shared" si="4"/>
        <v>FAIL</v>
      </c>
      <c r="P22" s="57">
        <f t="shared" si="5"/>
        <v>130.4</v>
      </c>
      <c r="Q22" s="51" t="str">
        <f t="shared" si="6"/>
        <v>FAIL</v>
      </c>
      <c r="R22" s="60">
        <f t="shared" si="7"/>
        <v>28.977777777777781</v>
      </c>
    </row>
    <row r="23" spans="1:18" x14ac:dyDescent="0.35">
      <c r="A23" s="57" t="s">
        <v>55</v>
      </c>
      <c r="B23" s="58" t="s">
        <v>70</v>
      </c>
      <c r="C23" s="58">
        <v>7390</v>
      </c>
      <c r="D23" s="58" t="s">
        <v>86</v>
      </c>
      <c r="E23" s="59">
        <v>46219</v>
      </c>
      <c r="F23" s="58">
        <v>36</v>
      </c>
      <c r="G23" s="51" t="str">
        <f t="shared" si="0"/>
        <v>FAIL</v>
      </c>
      <c r="H23" s="58">
        <v>30.9</v>
      </c>
      <c r="I23" s="51" t="str">
        <f t="shared" si="1"/>
        <v>FAIL</v>
      </c>
      <c r="J23" s="58">
        <v>36.6</v>
      </c>
      <c r="K23" s="51" t="str">
        <f t="shared" si="2"/>
        <v>FAIL</v>
      </c>
      <c r="L23" s="58">
        <v>27.4</v>
      </c>
      <c r="M23" s="51" t="str">
        <f t="shared" si="3"/>
        <v>FAIL</v>
      </c>
      <c r="N23" s="58">
        <v>18</v>
      </c>
      <c r="O23" s="51" t="str">
        <f t="shared" si="4"/>
        <v>FAIL</v>
      </c>
      <c r="P23" s="57">
        <f t="shared" si="5"/>
        <v>148.9</v>
      </c>
      <c r="Q23" s="51" t="str">
        <f t="shared" si="6"/>
        <v>FAIL</v>
      </c>
      <c r="R23" s="60">
        <f t="shared" si="7"/>
        <v>33.088888888888889</v>
      </c>
    </row>
    <row r="24" spans="1:18" x14ac:dyDescent="0.35">
      <c r="A24" s="57" t="s">
        <v>55</v>
      </c>
      <c r="B24" s="58" t="s">
        <v>71</v>
      </c>
      <c r="C24" s="58">
        <v>7391</v>
      </c>
      <c r="D24" s="58" t="s">
        <v>86</v>
      </c>
      <c r="E24" s="59">
        <v>46219</v>
      </c>
      <c r="F24" s="58">
        <v>26.6</v>
      </c>
      <c r="G24" s="51" t="str">
        <f t="shared" si="0"/>
        <v>FAIL</v>
      </c>
      <c r="H24" s="58">
        <v>41.2</v>
      </c>
      <c r="I24" s="51" t="str">
        <f t="shared" si="1"/>
        <v>FAIL</v>
      </c>
      <c r="J24" s="58">
        <v>35.700000000000003</v>
      </c>
      <c r="K24" s="51" t="str">
        <f t="shared" si="2"/>
        <v>FAIL</v>
      </c>
      <c r="L24" s="58">
        <v>43.2</v>
      </c>
      <c r="M24" s="51" t="str">
        <f t="shared" si="3"/>
        <v>FAIL</v>
      </c>
      <c r="N24" s="58">
        <v>17</v>
      </c>
      <c r="O24" s="51" t="str">
        <f t="shared" si="4"/>
        <v>FAIL</v>
      </c>
      <c r="P24" s="57">
        <f t="shared" si="5"/>
        <v>163.70000000000002</v>
      </c>
      <c r="Q24" s="51" t="str">
        <f t="shared" si="6"/>
        <v>FAIL</v>
      </c>
      <c r="R24" s="60">
        <f t="shared" si="7"/>
        <v>36.37777777777778</v>
      </c>
    </row>
    <row r="25" spans="1:18" x14ac:dyDescent="0.35">
      <c r="A25" s="57" t="s">
        <v>55</v>
      </c>
      <c r="B25" s="58" t="s">
        <v>72</v>
      </c>
      <c r="C25" s="58">
        <v>7392</v>
      </c>
      <c r="D25" s="58" t="s">
        <v>86</v>
      </c>
      <c r="E25" s="59">
        <v>46219</v>
      </c>
      <c r="F25" s="58">
        <v>28.4</v>
      </c>
      <c r="G25" s="51" t="str">
        <f t="shared" si="0"/>
        <v>FAIL</v>
      </c>
      <c r="H25" s="58">
        <v>37.1</v>
      </c>
      <c r="I25" s="51" t="str">
        <f t="shared" si="1"/>
        <v>FAIL</v>
      </c>
      <c r="J25" s="58">
        <v>33.1</v>
      </c>
      <c r="K25" s="51" t="str">
        <f t="shared" si="2"/>
        <v>FAIL</v>
      </c>
      <c r="L25" s="58">
        <v>25.2</v>
      </c>
      <c r="M25" s="51" t="str">
        <f t="shared" si="3"/>
        <v>FAIL</v>
      </c>
      <c r="N25" s="58">
        <v>8</v>
      </c>
      <c r="O25" s="51" t="str">
        <f t="shared" si="4"/>
        <v>FAIL</v>
      </c>
      <c r="P25" s="57">
        <f t="shared" si="5"/>
        <v>131.80000000000001</v>
      </c>
      <c r="Q25" s="51" t="str">
        <f t="shared" si="6"/>
        <v>FAIL</v>
      </c>
      <c r="R25" s="60">
        <f t="shared" si="7"/>
        <v>29.288888888888891</v>
      </c>
    </row>
    <row r="26" spans="1:18" x14ac:dyDescent="0.35">
      <c r="A26" s="57" t="s">
        <v>55</v>
      </c>
      <c r="B26" s="58" t="s">
        <v>73</v>
      </c>
      <c r="C26" s="58">
        <v>7393</v>
      </c>
      <c r="D26" s="58" t="s">
        <v>86</v>
      </c>
      <c r="E26" s="59">
        <v>46219</v>
      </c>
      <c r="F26" s="58">
        <v>16.600000000000001</v>
      </c>
      <c r="G26" s="51" t="str">
        <f t="shared" si="0"/>
        <v>FAIL</v>
      </c>
      <c r="H26" s="58">
        <v>21.1</v>
      </c>
      <c r="I26" s="51" t="str">
        <f t="shared" si="1"/>
        <v>FAIL</v>
      </c>
      <c r="J26" s="58">
        <v>20</v>
      </c>
      <c r="K26" s="51" t="str">
        <f t="shared" si="2"/>
        <v>FAIL</v>
      </c>
      <c r="L26" s="58">
        <v>26</v>
      </c>
      <c r="M26" s="51" t="str">
        <f t="shared" si="3"/>
        <v>FAIL</v>
      </c>
      <c r="N26" s="58">
        <v>24</v>
      </c>
      <c r="O26" s="51" t="str">
        <f t="shared" si="4"/>
        <v>FAIL</v>
      </c>
      <c r="P26" s="57">
        <f t="shared" si="5"/>
        <v>107.7</v>
      </c>
      <c r="Q26" s="51" t="str">
        <f t="shared" si="6"/>
        <v>FAIL</v>
      </c>
      <c r="R26" s="60">
        <f t="shared" si="7"/>
        <v>23.933333333333334</v>
      </c>
    </row>
    <row r="27" spans="1:18" x14ac:dyDescent="0.35">
      <c r="A27" s="57" t="s">
        <v>55</v>
      </c>
      <c r="B27" s="58" t="s">
        <v>74</v>
      </c>
      <c r="C27" s="58">
        <v>7394</v>
      </c>
      <c r="D27" s="58" t="s">
        <v>86</v>
      </c>
      <c r="E27" s="59">
        <v>46219</v>
      </c>
      <c r="F27" s="58">
        <v>63.2</v>
      </c>
      <c r="G27" s="51" t="str">
        <f t="shared" si="0"/>
        <v>PASS</v>
      </c>
      <c r="H27" s="58">
        <v>21.1</v>
      </c>
      <c r="I27" s="51" t="str">
        <f t="shared" si="1"/>
        <v>FAIL</v>
      </c>
      <c r="J27" s="58">
        <v>20</v>
      </c>
      <c r="K27" s="51" t="str">
        <f t="shared" si="2"/>
        <v>FAIL</v>
      </c>
      <c r="L27" s="58">
        <v>19</v>
      </c>
      <c r="M27" s="51" t="str">
        <f t="shared" si="3"/>
        <v>FAIL</v>
      </c>
      <c r="N27" s="58">
        <v>14</v>
      </c>
      <c r="O27" s="51" t="str">
        <f t="shared" si="4"/>
        <v>FAIL</v>
      </c>
      <c r="P27" s="57">
        <f t="shared" si="5"/>
        <v>137.30000000000001</v>
      </c>
      <c r="Q27" s="51" t="str">
        <f t="shared" si="6"/>
        <v>FAIL</v>
      </c>
      <c r="R27" s="60">
        <f t="shared" si="7"/>
        <v>30.511111111111113</v>
      </c>
    </row>
    <row r="28" spans="1:18" x14ac:dyDescent="0.35">
      <c r="A28" s="57" t="s">
        <v>55</v>
      </c>
      <c r="B28" s="58" t="s">
        <v>75</v>
      </c>
      <c r="C28" s="58">
        <v>7395</v>
      </c>
      <c r="D28" s="58" t="s">
        <v>86</v>
      </c>
      <c r="E28" s="59">
        <v>46219</v>
      </c>
      <c r="F28" s="58">
        <v>32</v>
      </c>
      <c r="G28" s="51" t="str">
        <f t="shared" si="0"/>
        <v>FAIL</v>
      </c>
      <c r="H28" s="58">
        <v>29.1</v>
      </c>
      <c r="I28" s="51" t="str">
        <f t="shared" si="1"/>
        <v>FAIL</v>
      </c>
      <c r="J28" s="58">
        <v>41.6</v>
      </c>
      <c r="K28" s="51" t="str">
        <f t="shared" si="2"/>
        <v>FAIL</v>
      </c>
      <c r="L28" s="58">
        <v>28.8</v>
      </c>
      <c r="M28" s="51" t="str">
        <f t="shared" si="3"/>
        <v>FAIL</v>
      </c>
      <c r="N28" s="58">
        <v>10</v>
      </c>
      <c r="O28" s="51" t="str">
        <f t="shared" si="4"/>
        <v>FAIL</v>
      </c>
      <c r="P28" s="57">
        <f t="shared" si="5"/>
        <v>141.5</v>
      </c>
      <c r="Q28" s="51" t="str">
        <f t="shared" si="6"/>
        <v>FAIL</v>
      </c>
      <c r="R28" s="60">
        <f t="shared" si="7"/>
        <v>31.444444444444446</v>
      </c>
    </row>
    <row r="29" spans="1:18" x14ac:dyDescent="0.35">
      <c r="A29" s="57" t="s">
        <v>55</v>
      </c>
      <c r="B29" s="58" t="s">
        <v>76</v>
      </c>
      <c r="C29" s="58">
        <v>7396</v>
      </c>
      <c r="D29" s="58" t="s">
        <v>86</v>
      </c>
      <c r="E29" s="59">
        <v>46219</v>
      </c>
      <c r="F29" s="58">
        <v>18.2</v>
      </c>
      <c r="G29" s="51" t="str">
        <f t="shared" si="0"/>
        <v>FAIL</v>
      </c>
      <c r="H29" s="58">
        <v>32.299999999999997</v>
      </c>
      <c r="I29" s="51" t="str">
        <f t="shared" si="1"/>
        <v>FAIL</v>
      </c>
      <c r="J29" s="58">
        <v>41.8</v>
      </c>
      <c r="K29" s="51" t="str">
        <f t="shared" si="2"/>
        <v>FAIL</v>
      </c>
      <c r="L29" s="58">
        <v>45.2</v>
      </c>
      <c r="M29" s="51" t="str">
        <f t="shared" si="3"/>
        <v>FAIL</v>
      </c>
      <c r="N29" s="58">
        <v>22</v>
      </c>
      <c r="O29" s="51" t="str">
        <f t="shared" si="4"/>
        <v>FAIL</v>
      </c>
      <c r="P29" s="57">
        <f t="shared" si="5"/>
        <v>159.5</v>
      </c>
      <c r="Q29" s="51" t="str">
        <f t="shared" si="6"/>
        <v>FAIL</v>
      </c>
      <c r="R29" s="60">
        <f t="shared" si="7"/>
        <v>35.444444444444443</v>
      </c>
    </row>
    <row r="30" spans="1:18" x14ac:dyDescent="0.35">
      <c r="A30" s="57" t="s">
        <v>55</v>
      </c>
      <c r="B30" s="58" t="s">
        <v>77</v>
      </c>
      <c r="C30" s="58">
        <v>7397</v>
      </c>
      <c r="D30" s="58" t="s">
        <v>86</v>
      </c>
      <c r="E30" s="59">
        <v>46219</v>
      </c>
      <c r="F30" s="58">
        <v>21.4</v>
      </c>
      <c r="G30" s="51" t="str">
        <f t="shared" si="0"/>
        <v>FAIL</v>
      </c>
      <c r="H30" s="58">
        <v>36.1</v>
      </c>
      <c r="I30" s="51" t="str">
        <f t="shared" si="1"/>
        <v>FAIL</v>
      </c>
      <c r="J30" s="58">
        <v>27.4</v>
      </c>
      <c r="K30" s="51" t="str">
        <f t="shared" si="2"/>
        <v>FAIL</v>
      </c>
      <c r="L30" s="58">
        <v>27.2</v>
      </c>
      <c r="M30" s="51" t="str">
        <f t="shared" si="3"/>
        <v>FAIL</v>
      </c>
      <c r="N30" s="58">
        <v>17</v>
      </c>
      <c r="O30" s="51" t="str">
        <f t="shared" si="4"/>
        <v>FAIL</v>
      </c>
      <c r="P30" s="57">
        <f t="shared" si="5"/>
        <v>129.10000000000002</v>
      </c>
      <c r="Q30" s="51" t="str">
        <f t="shared" si="6"/>
        <v>FAIL</v>
      </c>
      <c r="R30" s="60">
        <f t="shared" si="7"/>
        <v>28.68888888888889</v>
      </c>
    </row>
    <row r="31" spans="1:18" x14ac:dyDescent="0.35">
      <c r="A31" s="57" t="s">
        <v>55</v>
      </c>
      <c r="B31" s="58" t="s">
        <v>78</v>
      </c>
      <c r="C31" s="58">
        <v>7398</v>
      </c>
      <c r="D31" s="58" t="s">
        <v>86</v>
      </c>
      <c r="E31" s="59">
        <v>46219</v>
      </c>
      <c r="F31" s="58">
        <v>30</v>
      </c>
      <c r="G31" s="51" t="str">
        <f t="shared" si="0"/>
        <v>FAIL</v>
      </c>
      <c r="H31" s="58">
        <v>20.5</v>
      </c>
      <c r="I31" s="51" t="str">
        <f t="shared" si="1"/>
        <v>FAIL</v>
      </c>
      <c r="J31" s="58">
        <v>36.6</v>
      </c>
      <c r="K31" s="51" t="str">
        <f t="shared" si="2"/>
        <v>FAIL</v>
      </c>
      <c r="L31" s="58">
        <v>41.6</v>
      </c>
      <c r="M31" s="51" t="str">
        <f t="shared" si="3"/>
        <v>FAIL</v>
      </c>
      <c r="N31" s="58">
        <v>13</v>
      </c>
      <c r="O31" s="51" t="str">
        <f t="shared" si="4"/>
        <v>FAIL</v>
      </c>
      <c r="P31" s="57">
        <f t="shared" si="5"/>
        <v>141.69999999999999</v>
      </c>
      <c r="Q31" s="51" t="str">
        <f t="shared" si="6"/>
        <v>FAIL</v>
      </c>
      <c r="R31" s="60">
        <f t="shared" si="7"/>
        <v>31.488888888888887</v>
      </c>
    </row>
    <row r="32" spans="1:18" x14ac:dyDescent="0.35">
      <c r="A32" s="57" t="s">
        <v>55</v>
      </c>
      <c r="B32" s="58" t="s">
        <v>79</v>
      </c>
      <c r="C32" s="58">
        <v>7403</v>
      </c>
      <c r="D32" s="58" t="s">
        <v>88</v>
      </c>
      <c r="E32" s="59">
        <v>46219</v>
      </c>
      <c r="F32" s="58">
        <v>0</v>
      </c>
      <c r="G32" s="51" t="str">
        <f t="shared" si="0"/>
        <v>ABSENT</v>
      </c>
      <c r="H32" s="58">
        <v>0</v>
      </c>
      <c r="I32" s="51" t="str">
        <f t="shared" si="1"/>
        <v>ABSENT</v>
      </c>
      <c r="J32" s="58">
        <v>0</v>
      </c>
      <c r="K32" s="51" t="str">
        <f t="shared" si="2"/>
        <v>ABSENT</v>
      </c>
      <c r="L32" s="58">
        <v>0</v>
      </c>
      <c r="M32" s="51" t="str">
        <f t="shared" si="3"/>
        <v>ABSENT</v>
      </c>
      <c r="N32" s="58">
        <v>0</v>
      </c>
      <c r="O32" s="51" t="str">
        <f t="shared" si="4"/>
        <v>ABSENT</v>
      </c>
      <c r="P32" s="57">
        <f t="shared" si="5"/>
        <v>0</v>
      </c>
      <c r="Q32" s="51" t="str">
        <f t="shared" si="6"/>
        <v>ABSENT</v>
      </c>
      <c r="R32" s="60">
        <f t="shared" si="7"/>
        <v>0</v>
      </c>
    </row>
    <row r="33" spans="1:18" x14ac:dyDescent="0.35">
      <c r="A33" s="57" t="s">
        <v>55</v>
      </c>
      <c r="B33" s="58" t="s">
        <v>80</v>
      </c>
      <c r="C33" s="58">
        <v>7404</v>
      </c>
      <c r="D33" s="58" t="s">
        <v>86</v>
      </c>
      <c r="E33" s="59">
        <v>46219</v>
      </c>
      <c r="F33" s="58">
        <v>38.9</v>
      </c>
      <c r="G33" s="51" t="str">
        <f t="shared" si="0"/>
        <v>FAIL</v>
      </c>
      <c r="H33" s="58">
        <v>39.299999999999997</v>
      </c>
      <c r="I33" s="51" t="str">
        <f t="shared" si="1"/>
        <v>FAIL</v>
      </c>
      <c r="J33" s="58">
        <v>24.5</v>
      </c>
      <c r="K33" s="51" t="str">
        <f t="shared" si="2"/>
        <v>FAIL</v>
      </c>
      <c r="L33" s="58">
        <v>17</v>
      </c>
      <c r="M33" s="51" t="str">
        <f t="shared" si="3"/>
        <v>FAIL</v>
      </c>
      <c r="N33" s="58">
        <v>16</v>
      </c>
      <c r="O33" s="51" t="str">
        <f t="shared" si="4"/>
        <v>FAIL</v>
      </c>
      <c r="P33" s="57">
        <f t="shared" si="5"/>
        <v>135.69999999999999</v>
      </c>
      <c r="Q33" s="51" t="str">
        <f t="shared" si="6"/>
        <v>FAIL</v>
      </c>
      <c r="R33" s="60">
        <f t="shared" si="7"/>
        <v>30.155555555555551</v>
      </c>
    </row>
    <row r="34" spans="1:18" x14ac:dyDescent="0.35">
      <c r="A34" s="57" t="s">
        <v>55</v>
      </c>
      <c r="B34" s="58" t="s">
        <v>81</v>
      </c>
      <c r="C34" s="58">
        <v>7399</v>
      </c>
      <c r="D34" s="58" t="s">
        <v>87</v>
      </c>
      <c r="E34" s="59">
        <v>46219</v>
      </c>
      <c r="F34" s="58">
        <v>48.8</v>
      </c>
      <c r="G34" s="51" t="str">
        <f t="shared" si="0"/>
        <v>FAIL</v>
      </c>
      <c r="H34" s="58">
        <v>28.1</v>
      </c>
      <c r="I34" s="51" t="str">
        <f t="shared" si="1"/>
        <v>FAIL</v>
      </c>
      <c r="J34" s="58">
        <v>45.2</v>
      </c>
      <c r="K34" s="51" t="str">
        <f t="shared" si="2"/>
        <v>FAIL</v>
      </c>
      <c r="L34" s="58">
        <v>17</v>
      </c>
      <c r="M34" s="51" t="str">
        <f t="shared" si="3"/>
        <v>FAIL</v>
      </c>
      <c r="N34" s="58">
        <v>5</v>
      </c>
      <c r="O34" s="51" t="str">
        <f t="shared" si="4"/>
        <v>FAIL</v>
      </c>
      <c r="P34" s="57">
        <f t="shared" si="5"/>
        <v>144.10000000000002</v>
      </c>
      <c r="Q34" s="51" t="str">
        <f t="shared" si="6"/>
        <v>FAIL</v>
      </c>
      <c r="R34" s="60">
        <f t="shared" si="7"/>
        <v>32.022222222222233</v>
      </c>
    </row>
    <row r="35" spans="1:18" x14ac:dyDescent="0.35">
      <c r="A35" s="57" t="s">
        <v>55</v>
      </c>
      <c r="B35" s="58" t="s">
        <v>82</v>
      </c>
      <c r="C35" s="58">
        <v>7400</v>
      </c>
      <c r="D35" s="58" t="s">
        <v>87</v>
      </c>
      <c r="E35" s="59">
        <v>46219</v>
      </c>
      <c r="F35" s="58">
        <v>26.8</v>
      </c>
      <c r="G35" s="51" t="str">
        <f t="shared" si="0"/>
        <v>FAIL</v>
      </c>
      <c r="H35" s="58">
        <v>41</v>
      </c>
      <c r="I35" s="51" t="str">
        <f t="shared" si="1"/>
        <v>FAIL</v>
      </c>
      <c r="J35" s="58">
        <v>29.9</v>
      </c>
      <c r="K35" s="51" t="str">
        <f t="shared" si="2"/>
        <v>FAIL</v>
      </c>
      <c r="L35" s="58">
        <v>20</v>
      </c>
      <c r="M35" s="51" t="str">
        <f t="shared" si="3"/>
        <v>FAIL</v>
      </c>
      <c r="N35" s="58">
        <v>10</v>
      </c>
      <c r="O35" s="51" t="str">
        <f t="shared" si="4"/>
        <v>FAIL</v>
      </c>
      <c r="P35" s="57">
        <f t="shared" si="5"/>
        <v>127.69999999999999</v>
      </c>
      <c r="Q35" s="51" t="str">
        <f t="shared" si="6"/>
        <v>FAIL</v>
      </c>
      <c r="R35" s="60">
        <f t="shared" si="7"/>
        <v>28.377777777777773</v>
      </c>
    </row>
    <row r="36" spans="1:18" x14ac:dyDescent="0.35">
      <c r="A36" s="57" t="s">
        <v>55</v>
      </c>
      <c r="B36" s="58" t="s">
        <v>83</v>
      </c>
      <c r="C36" s="58">
        <v>7401</v>
      </c>
      <c r="D36" s="58" t="s">
        <v>87</v>
      </c>
      <c r="E36" s="59">
        <v>46219</v>
      </c>
      <c r="F36" s="58">
        <v>68.5</v>
      </c>
      <c r="G36" s="51" t="str">
        <f t="shared" si="0"/>
        <v>PASS</v>
      </c>
      <c r="H36" s="58">
        <v>67.8</v>
      </c>
      <c r="I36" s="51" t="str">
        <f t="shared" si="1"/>
        <v>PASS</v>
      </c>
      <c r="J36" s="58">
        <v>67.599999999999994</v>
      </c>
      <c r="K36" s="51" t="str">
        <f t="shared" si="2"/>
        <v>PASS</v>
      </c>
      <c r="L36" s="58">
        <v>59</v>
      </c>
      <c r="M36" s="51" t="str">
        <f t="shared" si="3"/>
        <v>PASS</v>
      </c>
      <c r="N36" s="58">
        <v>17</v>
      </c>
      <c r="O36" s="51" t="str">
        <f t="shared" si="4"/>
        <v>FAIL</v>
      </c>
      <c r="P36" s="57">
        <f t="shared" si="5"/>
        <v>279.89999999999998</v>
      </c>
      <c r="Q36" s="51" t="str">
        <f t="shared" si="6"/>
        <v>PASS</v>
      </c>
      <c r="R36" s="60">
        <f t="shared" si="7"/>
        <v>62.2</v>
      </c>
    </row>
    <row r="37" spans="1:18" x14ac:dyDescent="0.35">
      <c r="A37" s="57" t="s">
        <v>55</v>
      </c>
      <c r="B37" s="58" t="s">
        <v>84</v>
      </c>
      <c r="C37" s="58">
        <v>7402</v>
      </c>
      <c r="D37" s="58" t="s">
        <v>87</v>
      </c>
      <c r="E37" s="59">
        <v>46219</v>
      </c>
      <c r="F37" s="58">
        <v>31.3</v>
      </c>
      <c r="G37" s="51" t="str">
        <f t="shared" si="0"/>
        <v>FAIL</v>
      </c>
      <c r="H37" s="58">
        <v>43.2</v>
      </c>
      <c r="I37" s="51" t="str">
        <f t="shared" si="1"/>
        <v>FAIL</v>
      </c>
      <c r="J37" s="58">
        <v>33.4</v>
      </c>
      <c r="K37" s="51" t="str">
        <f t="shared" si="2"/>
        <v>FAIL</v>
      </c>
      <c r="L37" s="58">
        <v>12</v>
      </c>
      <c r="M37" s="51" t="str">
        <f t="shared" si="3"/>
        <v>FAIL</v>
      </c>
      <c r="N37" s="58">
        <v>15</v>
      </c>
      <c r="O37" s="51" t="str">
        <f t="shared" si="4"/>
        <v>FAIL</v>
      </c>
      <c r="P37" s="57">
        <f t="shared" si="5"/>
        <v>134.9</v>
      </c>
      <c r="Q37" s="51" t="str">
        <f t="shared" si="6"/>
        <v>FAIL</v>
      </c>
      <c r="R37" s="60">
        <f t="shared" si="7"/>
        <v>29.977777777777781</v>
      </c>
    </row>
    <row r="38" spans="1:18" x14ac:dyDescent="0.35">
      <c r="A38" s="57" t="s">
        <v>55</v>
      </c>
      <c r="B38" s="58" t="s">
        <v>85</v>
      </c>
      <c r="C38" s="58">
        <v>7405</v>
      </c>
      <c r="D38" s="58" t="s">
        <v>87</v>
      </c>
      <c r="E38" s="59">
        <v>46219</v>
      </c>
      <c r="F38" s="58">
        <v>21.5</v>
      </c>
      <c r="G38" s="51" t="str">
        <f t="shared" si="0"/>
        <v>FAIL</v>
      </c>
      <c r="H38" s="58">
        <v>25.7</v>
      </c>
      <c r="I38" s="51" t="str">
        <f t="shared" si="1"/>
        <v>FAIL</v>
      </c>
      <c r="J38" s="58">
        <v>38.9</v>
      </c>
      <c r="K38" s="51" t="str">
        <f t="shared" si="2"/>
        <v>FAIL</v>
      </c>
      <c r="L38" s="58">
        <v>19.7</v>
      </c>
      <c r="M38" s="51" t="str">
        <f t="shared" si="3"/>
        <v>FAIL</v>
      </c>
      <c r="N38" s="58">
        <v>17</v>
      </c>
      <c r="O38" s="51" t="str">
        <f t="shared" si="4"/>
        <v>FAIL</v>
      </c>
      <c r="P38" s="57">
        <f t="shared" si="5"/>
        <v>122.8</v>
      </c>
      <c r="Q38" s="51" t="str">
        <f t="shared" si="6"/>
        <v>FAIL</v>
      </c>
      <c r="R38" s="60">
        <f t="shared" si="7"/>
        <v>27.288888888888891</v>
      </c>
    </row>
  </sheetData>
  <conditionalFormatting sqref="P14:P38 E14:E38">
    <cfRule type="cellIs" dxfId="1" priority="4" operator="equal">
      <formula>"Fail"</formula>
    </cfRule>
  </conditionalFormatting>
  <conditionalFormatting sqref="C14:C38">
    <cfRule type="duplicateValues" dxfId="0" priority="1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showGridLines="0" workbookViewId="0">
      <selection activeCell="B65" sqref="B65"/>
    </sheetView>
  </sheetViews>
  <sheetFormatPr defaultRowHeight="14.5" x14ac:dyDescent="0.35"/>
  <cols>
    <col min="1" max="1" width="15.7265625" bestFit="1" customWidth="1"/>
    <col min="2" max="2" width="13" customWidth="1"/>
    <col min="4" max="5" width="10.81640625" customWidth="1"/>
    <col min="6" max="6" width="10.26953125" customWidth="1"/>
    <col min="7" max="7" width="10.453125" customWidth="1"/>
  </cols>
  <sheetData>
    <row r="1" spans="1:7" x14ac:dyDescent="0.35">
      <c r="A1" s="43" t="s">
        <v>9</v>
      </c>
      <c r="B1" s="43"/>
      <c r="C1" s="43"/>
      <c r="D1" s="43"/>
      <c r="E1" s="43"/>
      <c r="F1" s="43"/>
      <c r="G1" s="43"/>
    </row>
    <row r="2" spans="1:7" x14ac:dyDescent="0.35">
      <c r="A2" s="36" t="s">
        <v>10</v>
      </c>
      <c r="B2" s="36"/>
      <c r="C2" s="36"/>
      <c r="D2" s="36"/>
      <c r="E2" s="36"/>
      <c r="F2" s="36"/>
      <c r="G2" s="36"/>
    </row>
    <row r="3" spans="1:7" x14ac:dyDescent="0.35">
      <c r="A3" s="2" t="s">
        <v>11</v>
      </c>
      <c r="B3" s="44" t="str">
        <f>score_sheet!B10</f>
        <v>TPA0221220269705</v>
      </c>
      <c r="C3" s="45"/>
      <c r="D3" s="45"/>
      <c r="E3" s="45"/>
      <c r="F3" s="45"/>
      <c r="G3" s="46"/>
    </row>
    <row r="4" spans="1:7" ht="26" x14ac:dyDescent="0.35">
      <c r="A4" s="23" t="s">
        <v>12</v>
      </c>
      <c r="B4" s="47" t="str">
        <f>score_sheet!B6</f>
        <v>TPA</v>
      </c>
      <c r="C4" s="48"/>
      <c r="D4" s="3" t="s">
        <v>13</v>
      </c>
      <c r="E4" s="49">
        <v>0.5</v>
      </c>
      <c r="F4" s="50"/>
      <c r="G4" s="48"/>
    </row>
    <row r="5" spans="1:7" x14ac:dyDescent="0.35">
      <c r="A5" s="4" t="s">
        <v>7</v>
      </c>
      <c r="B5" s="30">
        <f>score_sheet!E14</f>
        <v>46219</v>
      </c>
      <c r="C5" s="31"/>
      <c r="D5" s="31"/>
      <c r="E5" s="31"/>
      <c r="F5" s="31"/>
      <c r="G5" s="32"/>
    </row>
    <row r="6" spans="1:7" x14ac:dyDescent="0.35">
      <c r="A6" s="5" t="s">
        <v>14</v>
      </c>
      <c r="B6" s="6" t="str">
        <f>score_sheet!B3</f>
        <v>Digital Mitra</v>
      </c>
      <c r="C6" s="20"/>
      <c r="D6" s="21"/>
      <c r="E6" s="21"/>
      <c r="F6" s="21"/>
      <c r="G6" s="22"/>
    </row>
    <row r="7" spans="1:7" ht="14.5" customHeight="1" x14ac:dyDescent="0.35">
      <c r="A7" s="33" t="s">
        <v>15</v>
      </c>
      <c r="C7" s="5" t="s">
        <v>16</v>
      </c>
      <c r="D7" s="37" t="s">
        <v>25</v>
      </c>
      <c r="E7" s="38"/>
      <c r="F7" s="10" t="s">
        <v>26</v>
      </c>
      <c r="G7" s="10" t="s">
        <v>27</v>
      </c>
    </row>
    <row r="8" spans="1:7" x14ac:dyDescent="0.35">
      <c r="A8" s="34"/>
      <c r="B8" s="7" t="s">
        <v>17</v>
      </c>
      <c r="C8" s="8">
        <f>COUNT(score_sheet!R14:R38)</f>
        <v>25</v>
      </c>
      <c r="D8" s="39"/>
      <c r="E8" s="40"/>
      <c r="F8" s="15">
        <f>COUNTIF(score_sheet!D14:D38,"M")</f>
        <v>5</v>
      </c>
      <c r="G8" s="15">
        <f>COUNTIF(score_sheet!D14:D38,"F")</f>
        <v>15</v>
      </c>
    </row>
    <row r="9" spans="1:7" x14ac:dyDescent="0.35">
      <c r="A9" s="34"/>
      <c r="B9" s="7" t="s">
        <v>18</v>
      </c>
      <c r="C9" s="8">
        <f>COUNTIF(score_sheet!Q14:Q38,"PASS")+COUNTIF(score_sheet!Q14:Q38,"FAIL")</f>
        <v>20</v>
      </c>
      <c r="D9" s="39"/>
      <c r="E9" s="40"/>
      <c r="F9" s="15">
        <f>COUNTIFS(score_sheet!$D$14:$D$38,"M",score_sheet!$Q$14:$Q$38,"PASS")+COUNTIFS(score_sheet!$D$14:$D$38,"M",score_sheet!$Q$14:$Q$38,"FAIL")</f>
        <v>5</v>
      </c>
      <c r="G9" s="15">
        <f>COUNTIFS(score_sheet!$D$14:$D$38,"F",score_sheet!$Q$14:$Q$38,"PASS")+COUNTIFS(score_sheet!$D$14:$D$38,"F",score_sheet!$Q$14:$Q$38,"FAIL")</f>
        <v>15</v>
      </c>
    </row>
    <row r="10" spans="1:7" x14ac:dyDescent="0.35">
      <c r="A10" s="35"/>
      <c r="B10" s="7" t="s">
        <v>19</v>
      </c>
      <c r="C10" s="8">
        <f>COUNTIF(score_sheet!Q14:Q38,"PASS")</f>
        <v>1</v>
      </c>
      <c r="D10" s="41"/>
      <c r="E10" s="42"/>
      <c r="F10" s="15">
        <f>COUNTIFS(score_sheet!$D$14:$D$38,"M",score_sheet!$Q$14:$Q$38,"PASS")</f>
        <v>1</v>
      </c>
      <c r="G10" s="15">
        <f>COUNTIFS(score_sheet!$D$14:$D$38,"F",score_sheet!$Q$14:$Q$38,"PASS")</f>
        <v>0</v>
      </c>
    </row>
    <row r="11" spans="1:7" x14ac:dyDescent="0.35">
      <c r="A11" s="36" t="s">
        <v>20</v>
      </c>
      <c r="B11" s="36"/>
      <c r="C11" s="36"/>
      <c r="D11" s="36"/>
      <c r="E11" s="36"/>
      <c r="F11" s="36"/>
      <c r="G11" s="36"/>
    </row>
    <row r="12" spans="1:7" ht="39" x14ac:dyDescent="0.35">
      <c r="A12" s="9"/>
      <c r="B12" s="10" t="s">
        <v>21</v>
      </c>
      <c r="C12" s="10" t="s">
        <v>31</v>
      </c>
      <c r="D12" s="10" t="s">
        <v>38</v>
      </c>
      <c r="E12" s="10" t="s">
        <v>32</v>
      </c>
      <c r="F12" s="10" t="s">
        <v>39</v>
      </c>
      <c r="G12" s="10" t="s">
        <v>33</v>
      </c>
    </row>
    <row r="13" spans="1:7" x14ac:dyDescent="0.35">
      <c r="A13" s="1" t="s">
        <v>50</v>
      </c>
      <c r="B13" s="11">
        <f>$C$10/$C$9*100</f>
        <v>5</v>
      </c>
      <c r="C13" s="16">
        <f>AVERAGE(score_sheet!F$14:F$38)</f>
        <v>28.075999999999993</v>
      </c>
      <c r="D13" s="16">
        <f>MIN(score_sheet!F$14:F$38)</f>
        <v>0</v>
      </c>
      <c r="E13" s="17">
        <f>MAX(score_sheet!F$14:F$38)</f>
        <v>68.5</v>
      </c>
      <c r="F13" s="18">
        <f>MEDIAN(score_sheet!F$14:F$38)</f>
        <v>29.2</v>
      </c>
      <c r="G13" s="17">
        <f>STDEVP(score_sheet!F$14:F$38)</f>
        <v>18.410894166226694</v>
      </c>
    </row>
    <row r="14" spans="1:7" x14ac:dyDescent="0.35">
      <c r="A14" s="1" t="s">
        <v>51</v>
      </c>
      <c r="B14" s="11">
        <f t="shared" ref="B14:B17" si="0">$C$10/$C$9*100</f>
        <v>5</v>
      </c>
      <c r="C14" s="16">
        <f>AVERAGE(score_sheet!H$14:H$38)</f>
        <v>27.232000000000006</v>
      </c>
      <c r="D14" s="16">
        <f>MIN(score_sheet!H$14:H$38)</f>
        <v>0</v>
      </c>
      <c r="E14" s="17">
        <f>MAX(score_sheet!H$14:H$38)</f>
        <v>67.8</v>
      </c>
      <c r="F14" s="18">
        <f>MEDIAN(score_sheet!H$14:H$38)</f>
        <v>29.1</v>
      </c>
      <c r="G14" s="17">
        <f>STDEVP(score_sheet!H$14:H$38)</f>
        <v>17.037152813777293</v>
      </c>
    </row>
    <row r="15" spans="1:7" x14ac:dyDescent="0.35">
      <c r="A15" s="1" t="s">
        <v>52</v>
      </c>
      <c r="B15" s="11">
        <f t="shared" si="0"/>
        <v>5</v>
      </c>
      <c r="C15" s="16">
        <f>AVERAGE(score_sheet!J$14:J$38)</f>
        <v>26.515999999999998</v>
      </c>
      <c r="D15" s="16">
        <f>MIN(score_sheet!J$14:J$38)</f>
        <v>0</v>
      </c>
      <c r="E15" s="17">
        <f>MAX(score_sheet!J$14:J$38)</f>
        <v>67.599999999999994</v>
      </c>
      <c r="F15" s="18">
        <f>MEDIAN(score_sheet!J$14:J$38)</f>
        <v>29.9</v>
      </c>
      <c r="G15" s="17">
        <f>STDEVP(score_sheet!J$14:J$38)</f>
        <v>16.878783842445518</v>
      </c>
    </row>
    <row r="16" spans="1:7" x14ac:dyDescent="0.35">
      <c r="A16" s="1" t="s">
        <v>53</v>
      </c>
      <c r="B16" s="11">
        <f t="shared" si="0"/>
        <v>5</v>
      </c>
      <c r="C16" s="16">
        <f>AVERAGE(score_sheet!L$14:L$38)</f>
        <v>23.404000000000007</v>
      </c>
      <c r="D16" s="16">
        <f>MIN(score_sheet!L$14:L$38)</f>
        <v>0</v>
      </c>
      <c r="E16" s="17">
        <f>MAX(score_sheet!L$14:L$38)</f>
        <v>59</v>
      </c>
      <c r="F16" s="18">
        <f>MEDIAN(score_sheet!L$14:L$38)</f>
        <v>26</v>
      </c>
      <c r="G16" s="17">
        <f>STDEVP(score_sheet!L$14:L$38)</f>
        <v>15.410813865594504</v>
      </c>
    </row>
    <row r="17" spans="1:7" x14ac:dyDescent="0.35">
      <c r="A17" s="1" t="s">
        <v>54</v>
      </c>
      <c r="B17" s="11">
        <f t="shared" si="0"/>
        <v>5</v>
      </c>
      <c r="C17" s="16">
        <f>AVERAGE(score_sheet!N$14:N$38)</f>
        <v>10.44</v>
      </c>
      <c r="D17" s="16">
        <f>MIN(score_sheet!N$14:N$38)</f>
        <v>0</v>
      </c>
      <c r="E17" s="17">
        <f>MAX(score_sheet!N$14:N$38)</f>
        <v>24</v>
      </c>
      <c r="F17" s="18">
        <f>MEDIAN(score_sheet!N$14:N$38)</f>
        <v>10</v>
      </c>
      <c r="G17" s="17">
        <f>STDEVP(score_sheet!N$14:N$38)</f>
        <v>7.205997502081166</v>
      </c>
    </row>
    <row r="18" spans="1:7" x14ac:dyDescent="0.35">
      <c r="A18" s="36" t="s">
        <v>22</v>
      </c>
      <c r="B18" s="36"/>
      <c r="C18" s="36"/>
      <c r="D18" s="36"/>
      <c r="E18" s="36"/>
      <c r="F18" s="36"/>
      <c r="G18" s="36"/>
    </row>
    <row r="19" spans="1:7" x14ac:dyDescent="0.35">
      <c r="A19" s="12"/>
      <c r="B19" s="13">
        <v>1</v>
      </c>
      <c r="C19" s="13">
        <v>2</v>
      </c>
      <c r="D19" s="13">
        <v>3</v>
      </c>
      <c r="E19" s="13">
        <v>4</v>
      </c>
      <c r="F19" s="13">
        <v>5</v>
      </c>
      <c r="G19" s="13">
        <v>6</v>
      </c>
    </row>
    <row r="20" spans="1:7" x14ac:dyDescent="0.35">
      <c r="A20" s="24" t="s">
        <v>50</v>
      </c>
      <c r="B20" s="62" t="s">
        <v>89</v>
      </c>
      <c r="C20" s="62" t="s">
        <v>90</v>
      </c>
      <c r="D20" s="62" t="s">
        <v>91</v>
      </c>
      <c r="E20" s="62" t="s">
        <v>92</v>
      </c>
      <c r="F20" s="62" t="s">
        <v>93</v>
      </c>
      <c r="G20" s="62" t="s">
        <v>94</v>
      </c>
    </row>
    <row r="21" spans="1:7" x14ac:dyDescent="0.35">
      <c r="A21" s="25"/>
      <c r="B21" s="62" t="s">
        <v>95</v>
      </c>
      <c r="C21" s="62" t="s">
        <v>96</v>
      </c>
      <c r="D21" s="62" t="s">
        <v>97</v>
      </c>
      <c r="E21" s="62" t="s">
        <v>98</v>
      </c>
      <c r="F21" s="63"/>
      <c r="G21" s="63"/>
    </row>
    <row r="22" spans="1:7" x14ac:dyDescent="0.35">
      <c r="A22" s="26"/>
      <c r="B22" s="64"/>
      <c r="C22" s="64"/>
      <c r="D22" s="64"/>
      <c r="E22" s="64"/>
      <c r="F22" s="64"/>
      <c r="G22" s="64"/>
    </row>
    <row r="23" spans="1:7" x14ac:dyDescent="0.35">
      <c r="A23" s="24" t="s">
        <v>51</v>
      </c>
      <c r="B23" s="62" t="s">
        <v>99</v>
      </c>
      <c r="C23" s="62" t="s">
        <v>100</v>
      </c>
      <c r="D23" s="62" t="s">
        <v>91</v>
      </c>
      <c r="E23" s="62" t="s">
        <v>101</v>
      </c>
      <c r="F23" s="62" t="s">
        <v>102</v>
      </c>
      <c r="G23" s="62" t="s">
        <v>96</v>
      </c>
    </row>
    <row r="24" spans="1:7" x14ac:dyDescent="0.35">
      <c r="A24" s="25"/>
      <c r="B24" s="62" t="s">
        <v>103</v>
      </c>
      <c r="C24" s="62" t="s">
        <v>104</v>
      </c>
      <c r="D24" s="62" t="s">
        <v>105</v>
      </c>
      <c r="E24" s="63"/>
      <c r="F24" s="63"/>
      <c r="G24" s="63"/>
    </row>
    <row r="25" spans="1:7" x14ac:dyDescent="0.35">
      <c r="A25" s="26"/>
      <c r="B25" s="64"/>
      <c r="C25" s="64"/>
      <c r="D25" s="64"/>
      <c r="E25" s="64"/>
      <c r="F25" s="64"/>
      <c r="G25" s="64"/>
    </row>
    <row r="26" spans="1:7" x14ac:dyDescent="0.35">
      <c r="A26" s="24" t="s">
        <v>52</v>
      </c>
      <c r="B26" s="62" t="s">
        <v>103</v>
      </c>
      <c r="C26" s="62" t="s">
        <v>106</v>
      </c>
      <c r="D26" s="62" t="s">
        <v>105</v>
      </c>
      <c r="E26" s="62" t="s">
        <v>107</v>
      </c>
      <c r="F26" s="62" t="s">
        <v>97</v>
      </c>
      <c r="G26" s="62" t="s">
        <v>96</v>
      </c>
    </row>
    <row r="27" spans="1:7" x14ac:dyDescent="0.35">
      <c r="A27" s="25"/>
      <c r="B27" s="62" t="s">
        <v>108</v>
      </c>
      <c r="C27" s="62" t="s">
        <v>109</v>
      </c>
      <c r="D27" s="62" t="s">
        <v>104</v>
      </c>
      <c r="E27" s="62" t="s">
        <v>92</v>
      </c>
      <c r="F27" s="62" t="s">
        <v>98</v>
      </c>
      <c r="G27" s="63"/>
    </row>
    <row r="28" spans="1:7" x14ac:dyDescent="0.35">
      <c r="A28" s="26"/>
      <c r="B28" s="64"/>
      <c r="C28" s="64"/>
      <c r="D28" s="64"/>
      <c r="E28" s="64"/>
      <c r="F28" s="64"/>
      <c r="G28" s="64"/>
    </row>
    <row r="29" spans="1:7" x14ac:dyDescent="0.35">
      <c r="A29" s="24" t="s">
        <v>53</v>
      </c>
      <c r="B29" s="62" t="s">
        <v>99</v>
      </c>
      <c r="C29" s="62" t="s">
        <v>110</v>
      </c>
      <c r="D29" s="62" t="s">
        <v>90</v>
      </c>
      <c r="E29" s="62" t="s">
        <v>104</v>
      </c>
      <c r="F29" s="62" t="s">
        <v>91</v>
      </c>
      <c r="G29" s="62" t="s">
        <v>105</v>
      </c>
    </row>
    <row r="30" spans="1:7" x14ac:dyDescent="0.35">
      <c r="A30" s="25"/>
      <c r="B30" s="62" t="s">
        <v>89</v>
      </c>
      <c r="C30" s="62" t="s">
        <v>100</v>
      </c>
      <c r="D30" s="62" t="s">
        <v>106</v>
      </c>
      <c r="E30" s="62" t="s">
        <v>101</v>
      </c>
      <c r="F30" s="63"/>
      <c r="G30" s="63"/>
    </row>
    <row r="31" spans="1:7" x14ac:dyDescent="0.35">
      <c r="A31" s="26"/>
      <c r="B31" s="64"/>
      <c r="C31" s="64"/>
      <c r="D31" s="64"/>
      <c r="E31" s="64"/>
      <c r="F31" s="64"/>
      <c r="G31" s="64"/>
    </row>
    <row r="32" spans="1:7" x14ac:dyDescent="0.35">
      <c r="A32" s="24" t="s">
        <v>54</v>
      </c>
      <c r="B32" s="62" t="s">
        <v>99</v>
      </c>
      <c r="C32" s="62" t="s">
        <v>90</v>
      </c>
      <c r="D32" s="62" t="s">
        <v>101</v>
      </c>
      <c r="E32" s="62" t="s">
        <v>105</v>
      </c>
      <c r="F32" s="62" t="s">
        <v>110</v>
      </c>
      <c r="G32" s="64"/>
    </row>
    <row r="33" spans="1:7" x14ac:dyDescent="0.35">
      <c r="A33" s="25"/>
      <c r="B33" s="64"/>
      <c r="C33" s="64"/>
      <c r="D33" s="64"/>
      <c r="E33" s="64"/>
      <c r="F33" s="64"/>
      <c r="G33" s="64"/>
    </row>
    <row r="34" spans="1:7" x14ac:dyDescent="0.35">
      <c r="A34" s="26"/>
      <c r="B34" s="19"/>
      <c r="C34" s="19"/>
      <c r="D34" s="19"/>
      <c r="E34" s="19"/>
      <c r="F34" s="19"/>
      <c r="G34" s="19"/>
    </row>
    <row r="35" spans="1:7" x14ac:dyDescent="0.35">
      <c r="A35" s="27" t="s">
        <v>37</v>
      </c>
      <c r="B35" s="28"/>
      <c r="C35" s="28"/>
      <c r="D35" s="28"/>
      <c r="E35" s="28"/>
      <c r="F35" s="28"/>
      <c r="G35" s="29"/>
    </row>
    <row r="36" spans="1:7" x14ac:dyDescent="0.35">
      <c r="A36" s="24" t="s">
        <v>50</v>
      </c>
      <c r="B36" s="61" t="s">
        <v>104</v>
      </c>
      <c r="C36" s="19"/>
      <c r="D36" s="19"/>
      <c r="E36" s="19"/>
      <c r="F36" s="19"/>
      <c r="G36" s="19"/>
    </row>
    <row r="37" spans="1:7" x14ac:dyDescent="0.35">
      <c r="A37" s="25"/>
      <c r="B37" s="19"/>
      <c r="C37" s="19"/>
      <c r="D37" s="19"/>
      <c r="E37" s="19"/>
      <c r="F37" s="19"/>
      <c r="G37" s="19"/>
    </row>
    <row r="38" spans="1:7" x14ac:dyDescent="0.35">
      <c r="A38" s="26"/>
      <c r="B38" s="19"/>
      <c r="C38" s="19"/>
      <c r="D38" s="19"/>
      <c r="E38" s="19"/>
      <c r="F38" s="19"/>
      <c r="G38" s="19"/>
    </row>
    <row r="39" spans="1:7" x14ac:dyDescent="0.35">
      <c r="A39" s="24" t="s">
        <v>51</v>
      </c>
      <c r="B39" s="61" t="s">
        <v>89</v>
      </c>
      <c r="C39" s="19"/>
      <c r="D39" s="19"/>
      <c r="E39" s="19"/>
      <c r="F39" s="19"/>
      <c r="G39" s="19"/>
    </row>
    <row r="40" spans="1:7" x14ac:dyDescent="0.35">
      <c r="A40" s="25"/>
      <c r="B40" s="19"/>
      <c r="C40" s="19"/>
      <c r="D40" s="19"/>
      <c r="E40" s="19"/>
      <c r="F40" s="19"/>
      <c r="G40" s="19"/>
    </row>
    <row r="41" spans="1:7" x14ac:dyDescent="0.35">
      <c r="A41" s="26"/>
      <c r="B41" s="19"/>
      <c r="C41" s="19"/>
      <c r="D41" s="19"/>
      <c r="E41" s="19"/>
      <c r="F41" s="19"/>
      <c r="G41" s="19"/>
    </row>
    <row r="42" spans="1:7" x14ac:dyDescent="0.35">
      <c r="A42" s="24" t="s">
        <v>52</v>
      </c>
      <c r="B42" s="19"/>
      <c r="C42" s="19"/>
      <c r="D42" s="19"/>
      <c r="E42" s="19"/>
      <c r="F42" s="19"/>
      <c r="G42" s="19"/>
    </row>
    <row r="43" spans="1:7" x14ac:dyDescent="0.35">
      <c r="A43" s="25"/>
      <c r="B43" s="19"/>
      <c r="C43" s="19"/>
      <c r="D43" s="19"/>
      <c r="E43" s="19"/>
      <c r="F43" s="19"/>
      <c r="G43" s="19"/>
    </row>
    <row r="44" spans="1:7" x14ac:dyDescent="0.35">
      <c r="A44" s="26"/>
      <c r="B44" s="19"/>
      <c r="C44" s="19"/>
      <c r="D44" s="19"/>
      <c r="E44" s="19"/>
      <c r="F44" s="19"/>
      <c r="G44" s="19"/>
    </row>
    <row r="45" spans="1:7" x14ac:dyDescent="0.35">
      <c r="A45" s="24" t="s">
        <v>53</v>
      </c>
      <c r="B45" s="19"/>
      <c r="C45" s="19"/>
      <c r="D45" s="19"/>
      <c r="E45" s="19"/>
      <c r="F45" s="19"/>
      <c r="G45" s="19"/>
    </row>
    <row r="46" spans="1:7" x14ac:dyDescent="0.35">
      <c r="A46" s="25"/>
      <c r="B46" s="19"/>
      <c r="C46" s="19"/>
      <c r="D46" s="19"/>
      <c r="E46" s="19"/>
      <c r="F46" s="19"/>
      <c r="G46" s="19"/>
    </row>
    <row r="47" spans="1:7" x14ac:dyDescent="0.35">
      <c r="A47" s="26"/>
      <c r="B47" s="19"/>
      <c r="C47" s="19"/>
      <c r="D47" s="19"/>
      <c r="E47" s="19"/>
      <c r="F47" s="19"/>
      <c r="G47" s="19"/>
    </row>
    <row r="48" spans="1:7" x14ac:dyDescent="0.35">
      <c r="A48" s="24" t="s">
        <v>54</v>
      </c>
      <c r="B48" s="19" t="s">
        <v>89</v>
      </c>
      <c r="C48" s="19" t="s">
        <v>103</v>
      </c>
      <c r="D48" s="19" t="s">
        <v>100</v>
      </c>
      <c r="E48" s="19" t="s">
        <v>104</v>
      </c>
      <c r="F48" s="19" t="s">
        <v>106</v>
      </c>
      <c r="G48" s="19" t="s">
        <v>111</v>
      </c>
    </row>
    <row r="49" spans="1:7" x14ac:dyDescent="0.35">
      <c r="A49" s="25"/>
      <c r="B49" s="19"/>
      <c r="C49" s="19"/>
      <c r="D49" s="19"/>
      <c r="E49" s="19"/>
      <c r="F49" s="19"/>
      <c r="G49" s="19"/>
    </row>
    <row r="50" spans="1:7" x14ac:dyDescent="0.35">
      <c r="A50" s="26"/>
      <c r="B50" s="19"/>
      <c r="C50" s="19"/>
      <c r="D50" s="19"/>
      <c r="E50" s="19"/>
      <c r="F50" s="19"/>
      <c r="G50" s="19"/>
    </row>
    <row r="51" spans="1:7" x14ac:dyDescent="0.35">
      <c r="A51" s="27" t="s">
        <v>23</v>
      </c>
      <c r="B51" s="28"/>
      <c r="C51" s="28"/>
      <c r="D51" s="28"/>
      <c r="E51" s="28"/>
      <c r="F51" s="28"/>
      <c r="G51" s="29"/>
    </row>
    <row r="52" spans="1:7" x14ac:dyDescent="0.35">
      <c r="A52" s="24" t="s">
        <v>50</v>
      </c>
      <c r="B52" s="19"/>
      <c r="C52" s="19"/>
      <c r="D52" s="19"/>
      <c r="E52" s="19"/>
      <c r="F52" s="19"/>
      <c r="G52" s="19"/>
    </row>
    <row r="53" spans="1:7" x14ac:dyDescent="0.35">
      <c r="A53" s="25"/>
      <c r="B53" s="19"/>
      <c r="C53" s="19"/>
      <c r="D53" s="19"/>
      <c r="E53" s="19"/>
      <c r="F53" s="19"/>
      <c r="G53" s="19"/>
    </row>
    <row r="54" spans="1:7" x14ac:dyDescent="0.35">
      <c r="A54" s="26"/>
      <c r="B54" s="19"/>
      <c r="C54" s="19"/>
      <c r="D54" s="19"/>
      <c r="E54" s="19"/>
      <c r="F54" s="19"/>
      <c r="G54" s="19"/>
    </row>
    <row r="55" spans="1:7" x14ac:dyDescent="0.35">
      <c r="A55" s="24" t="s">
        <v>51</v>
      </c>
      <c r="B55" s="19"/>
      <c r="C55" s="19"/>
      <c r="D55" s="19"/>
      <c r="E55" s="19"/>
      <c r="F55" s="19"/>
      <c r="G55" s="19"/>
    </row>
    <row r="56" spans="1:7" x14ac:dyDescent="0.35">
      <c r="A56" s="25"/>
      <c r="B56" s="19"/>
      <c r="C56" s="19"/>
      <c r="D56" s="19"/>
      <c r="E56" s="19"/>
      <c r="F56" s="19"/>
      <c r="G56" s="19"/>
    </row>
    <row r="57" spans="1:7" x14ac:dyDescent="0.35">
      <c r="A57" s="26"/>
      <c r="B57" s="19"/>
      <c r="C57" s="19"/>
      <c r="D57" s="19"/>
      <c r="E57" s="19"/>
      <c r="F57" s="19"/>
      <c r="G57" s="19"/>
    </row>
    <row r="58" spans="1:7" x14ac:dyDescent="0.35">
      <c r="A58" s="24" t="s">
        <v>52</v>
      </c>
      <c r="B58" s="61" t="s">
        <v>89</v>
      </c>
      <c r="C58" s="19"/>
      <c r="D58" s="19"/>
      <c r="E58" s="19"/>
      <c r="F58" s="19"/>
      <c r="G58" s="19"/>
    </row>
    <row r="59" spans="1:7" x14ac:dyDescent="0.35">
      <c r="A59" s="25"/>
      <c r="B59" s="19"/>
      <c r="C59" s="19"/>
      <c r="D59" s="19"/>
      <c r="E59" s="19"/>
      <c r="F59" s="19"/>
      <c r="G59" s="19"/>
    </row>
    <row r="60" spans="1:7" x14ac:dyDescent="0.35">
      <c r="A60" s="26"/>
      <c r="B60" s="19"/>
      <c r="C60" s="19"/>
      <c r="D60" s="19"/>
      <c r="E60" s="19"/>
      <c r="F60" s="19"/>
      <c r="G60" s="19"/>
    </row>
    <row r="61" spans="1:7" ht="15" customHeight="1" x14ac:dyDescent="0.35">
      <c r="A61" s="24" t="s">
        <v>53</v>
      </c>
      <c r="B61" s="19"/>
      <c r="C61" s="19"/>
      <c r="D61" s="19"/>
      <c r="E61" s="19"/>
      <c r="F61" s="19"/>
      <c r="G61" s="19"/>
    </row>
    <row r="62" spans="1:7" x14ac:dyDescent="0.35">
      <c r="A62" s="25"/>
      <c r="B62" s="19"/>
      <c r="C62" s="19"/>
      <c r="D62" s="19"/>
      <c r="E62" s="19"/>
      <c r="F62" s="19"/>
      <c r="G62" s="19"/>
    </row>
    <row r="63" spans="1:7" x14ac:dyDescent="0.35">
      <c r="A63" s="26"/>
      <c r="B63" s="19"/>
      <c r="C63" s="19"/>
      <c r="D63" s="19"/>
      <c r="E63" s="19"/>
      <c r="F63" s="19"/>
      <c r="G63" s="19"/>
    </row>
    <row r="64" spans="1:7" x14ac:dyDescent="0.35">
      <c r="A64" s="24" t="s">
        <v>54</v>
      </c>
      <c r="B64" s="19" t="s">
        <v>91</v>
      </c>
      <c r="C64" s="19"/>
      <c r="D64" s="19"/>
      <c r="E64" s="19"/>
      <c r="F64" s="19"/>
      <c r="G64" s="19"/>
    </row>
    <row r="65" spans="1:7" x14ac:dyDescent="0.35">
      <c r="A65" s="25"/>
      <c r="B65" s="19"/>
      <c r="C65" s="19"/>
      <c r="D65" s="19"/>
      <c r="E65" s="19"/>
      <c r="F65" s="19"/>
      <c r="G65" s="19"/>
    </row>
    <row r="66" spans="1:7" x14ac:dyDescent="0.35">
      <c r="A66" s="26"/>
      <c r="B66" s="19"/>
      <c r="C66" s="19"/>
      <c r="D66" s="19"/>
      <c r="E66" s="19"/>
      <c r="F66" s="19"/>
      <c r="G66" s="19"/>
    </row>
  </sheetData>
  <mergeCells count="27">
    <mergeCell ref="A1:G1"/>
    <mergeCell ref="A2:G2"/>
    <mergeCell ref="B3:G3"/>
    <mergeCell ref="B4:C4"/>
    <mergeCell ref="E4:G4"/>
    <mergeCell ref="B5:G5"/>
    <mergeCell ref="A7:A10"/>
    <mergeCell ref="A11:G11"/>
    <mergeCell ref="A18:G18"/>
    <mergeCell ref="A20:A22"/>
    <mergeCell ref="D7:E10"/>
    <mergeCell ref="A64:A66"/>
    <mergeCell ref="A51:G51"/>
    <mergeCell ref="A52:A54"/>
    <mergeCell ref="A61:A63"/>
    <mergeCell ref="A58:A60"/>
    <mergeCell ref="A23:A25"/>
    <mergeCell ref="A26:A28"/>
    <mergeCell ref="A39:A41"/>
    <mergeCell ref="A42:A44"/>
    <mergeCell ref="A55:A57"/>
    <mergeCell ref="A29:A31"/>
    <mergeCell ref="A32:A34"/>
    <mergeCell ref="A36:A38"/>
    <mergeCell ref="A45:A47"/>
    <mergeCell ref="A48:A50"/>
    <mergeCell ref="A35:G35"/>
  </mergeCells>
  <phoneticPr fontId="2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showGridLines="0" workbookViewId="0">
      <selection activeCell="N18" sqref="N18"/>
    </sheetView>
  </sheetViews>
  <sheetFormatPr defaultRowHeight="14.5" x14ac:dyDescent="0.35"/>
  <sheetData>
    <row r="1" spans="1:2" x14ac:dyDescent="0.35">
      <c r="A1" s="14" t="s">
        <v>11</v>
      </c>
      <c r="B1" s="14" t="str">
        <f>score_sheet!B10</f>
        <v>TPA0221220269705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Megha singh</cp:lastModifiedBy>
  <dcterms:created xsi:type="dcterms:W3CDTF">2015-05-01T13:34:33Z</dcterms:created>
  <dcterms:modified xsi:type="dcterms:W3CDTF">2026-07-18T16:52:28Z</dcterms:modified>
</cp:coreProperties>
</file>