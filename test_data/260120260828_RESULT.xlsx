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bookViews>
    <workbookView windowWidth="20490" windowHeight="7650"/>
  </bookViews>
  <sheets>
    <sheet name="score_sheet" sheetId="1" r:id="rId1"/>
    <sheet name="Batch Analysis - Tabular" sheetId="5" r:id="rId2"/>
    <sheet name="Batch Analysis - Graph" sheetId="6" r:id="rId3"/>
  </sheets>
  <definedNames>
    <definedName name="_xlnm._FilterDatabase" localSheetId="0" hidden="1">score_sheet!$A$12:$T$13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<sst xmlns="http://schemas.openxmlformats.org/spreadsheetml/2006/main" count="205" uniqueCount="91">
  <si>
    <t>IT-ITeS SSC NASSCOM</t>
  </si>
  <si>
    <t>RESULT OF QP BASED ASSESSMENT</t>
  </si>
  <si>
    <t>Assessment Agency Name</t>
  </si>
  <si>
    <t>IRIS Corporate Solutions Pvt Ltd</t>
  </si>
  <si>
    <t>Training Provider Name</t>
  </si>
  <si>
    <t>Vivan</t>
  </si>
  <si>
    <t>Qualification Pack Name/Job Role</t>
  </si>
  <si>
    <t>Trainer (VET and Skills)_V2</t>
  </si>
  <si>
    <t>Qualification Code</t>
  </si>
  <si>
    <t>MEP/Q2601</t>
  </si>
  <si>
    <t>Scheme Name</t>
  </si>
  <si>
    <t>TTT-TVET</t>
  </si>
  <si>
    <t>AR ID</t>
  </si>
  <si>
    <t>Online</t>
  </si>
  <si>
    <t>Batch ID</t>
  </si>
  <si>
    <t>Trainee Name</t>
  </si>
  <si>
    <t>Candidate ID</t>
  </si>
  <si>
    <t>Gender</t>
  </si>
  <si>
    <t>Assessment Date</t>
  </si>
  <si>
    <t>MEP/N2601 - Score
100</t>
  </si>
  <si>
    <t>Pass/Fail</t>
  </si>
  <si>
    <t>MEP/N2602 - Score
100</t>
  </si>
  <si>
    <t>MEP/N2618 - Score
100</t>
  </si>
  <si>
    <t>MEP/N2604 - Score
100</t>
  </si>
  <si>
    <t>MEP/N9903 - Score
100</t>
  </si>
  <si>
    <t>MEP/N9912 - Score
100</t>
  </si>
  <si>
    <t>Total</t>
  </si>
  <si>
    <t>Overall %</t>
  </si>
  <si>
    <t>Result of QP (Pass/Fail)</t>
  </si>
  <si>
    <t>260120260828</t>
  </si>
  <si>
    <t>Bannu Akkabattula</t>
  </si>
  <si>
    <t>TR499145</t>
  </si>
  <si>
    <t>Male</t>
  </si>
  <si>
    <t>Descriptive Analysis for the Batch</t>
  </si>
  <si>
    <t>BATCH SUMMARY</t>
  </si>
  <si>
    <t>Batch Id</t>
  </si>
  <si>
    <t>Scheme of Assessment</t>
  </si>
  <si>
    <t>Pass Criteria</t>
  </si>
  <si>
    <t>QP / Job role</t>
  </si>
  <si>
    <t>QP Result</t>
  </si>
  <si>
    <t>Gender Wise Analysis</t>
  </si>
  <si>
    <t>Female</t>
  </si>
  <si>
    <t>Enrolled</t>
  </si>
  <si>
    <t>Appeared</t>
  </si>
  <si>
    <t>Passed</t>
  </si>
  <si>
    <t>NOS SUMMARY</t>
  </si>
  <si>
    <t>% Students Passed 
(On Appeared)</t>
  </si>
  <si>
    <t>Mean</t>
  </si>
  <si>
    <t>Minimum Obtained</t>
  </si>
  <si>
    <t>Maximum Obtained</t>
  </si>
  <si>
    <t>Median</t>
  </si>
  <si>
    <t>SD</t>
  </si>
  <si>
    <t>MEP/N2601</t>
  </si>
  <si>
    <t>MEP/N2602</t>
  </si>
  <si>
    <t>MEP/N2618</t>
  </si>
  <si>
    <t>MEP/N2604</t>
  </si>
  <si>
    <t>MEP/N9903</t>
  </si>
  <si>
    <t>MEP/N9912</t>
  </si>
  <si>
    <t>WEAK PCs (AVERAGE SCORE LESS THAN 50%)</t>
  </si>
  <si>
    <t>PC15</t>
  </si>
  <si>
    <t>PC16</t>
  </si>
  <si>
    <t>PC17</t>
  </si>
  <si>
    <t>PC18</t>
  </si>
  <si>
    <t>PC19</t>
  </si>
  <si>
    <t>PC5</t>
  </si>
  <si>
    <t>PC6</t>
  </si>
  <si>
    <t>PC29</t>
  </si>
  <si>
    <t>PC30</t>
  </si>
  <si>
    <t>Moderately weak PCs (AVERAGE SCORE BETWEEN 50-70%)</t>
  </si>
  <si>
    <t>PC11</t>
  </si>
  <si>
    <t>PC12</t>
  </si>
  <si>
    <t>PC3</t>
  </si>
  <si>
    <t>PC4</t>
  </si>
  <si>
    <t>PC7</t>
  </si>
  <si>
    <t>PC13</t>
  </si>
  <si>
    <t>STRONG PCs (AVERAGE SCORE MORE THAN 70%)</t>
  </si>
  <si>
    <t>PC1</t>
  </si>
  <si>
    <t>PC2</t>
  </si>
  <si>
    <t>PC8</t>
  </si>
  <si>
    <t>PC9</t>
  </si>
  <si>
    <t>PC10</t>
  </si>
  <si>
    <t>PC14</t>
  </si>
  <si>
    <t>PC20</t>
  </si>
  <si>
    <t>PC21</t>
  </si>
  <si>
    <t>PC22</t>
  </si>
  <si>
    <t>PC23</t>
  </si>
  <si>
    <t>PC24</t>
  </si>
  <si>
    <t>PC25</t>
  </si>
  <si>
    <t>PC26</t>
  </si>
  <si>
    <t>PC27</t>
  </si>
  <si>
    <t>PC28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</si>
</sst>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[$-409]dd/mmm/yy;@"/>
    <numFmt numFmtId="181" formatCode="dd/mmm/yy"/>
    <numFmt numFmtId="182" formatCode="0.00_ "/>
  </numFmts>
  <fonts count="27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name val="Calibri"/>
      <charset val="134"/>
      <scheme val="minor"/>
    </font>
    <font>
      <sz val="11"/>
      <color indexed="8"/>
      <name val="Calibri"/>
      <charset val="0"/>
    </font>
    <font>
      <sz val="14"/>
      <color theme="1"/>
      <name val="Verdana"/>
      <charset val="134"/>
    </font>
    <font>
      <b/>
      <sz val="14"/>
      <color theme="1"/>
      <name val="Verdana"/>
      <charset val="134"/>
    </font>
    <font>
      <sz val="1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b/>
      <sz val="18"/>
      <color theme="3"/>
      <name val="Cambria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65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4" borderId="15" applyNumberFormat="0" applyFon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16" applyNumberFormat="0" applyFill="0" applyAlignment="0" applyProtection="0"/>
    <xf numFmtId="0" fontId="16" fillId="0" borderId="17" applyNumberFormat="0" applyFill="0" applyAlignment="0" applyProtection="0"/>
    <xf numFmtId="0" fontId="17" fillId="0" borderId="18" applyNumberFormat="0" applyFill="0" applyAlignment="0" applyProtection="0"/>
    <xf numFmtId="0" fontId="17" fillId="0" borderId="0" applyNumberFormat="0" applyFill="0" applyBorder="0" applyAlignment="0" applyProtection="0"/>
    <xf numFmtId="0" fontId="18" fillId="5" borderId="19" applyNumberFormat="0" applyAlignment="0" applyProtection="0"/>
    <xf numFmtId="0" fontId="19" fillId="6" borderId="20" applyNumberFormat="0" applyAlignment="0" applyProtection="0"/>
    <xf numFmtId="0" fontId="20" fillId="6" borderId="19" applyNumberFormat="0" applyAlignment="0" applyProtection="0"/>
    <xf numFmtId="0" fontId="21" fillId="7" borderId="21" applyNumberFormat="0" applyAlignment="0" applyProtection="0"/>
    <xf numFmtId="0" fontId="22" fillId="0" borderId="22" applyNumberFormat="0" applyFill="0" applyAlignment="0" applyProtection="0"/>
    <xf numFmtId="0" fontId="1" fillId="0" borderId="23" applyNumberFormat="0" applyFill="0" applyAlignment="0" applyProtection="0"/>
    <xf numFmtId="0" fontId="23" fillId="8" borderId="0" applyNumberFormat="0" applyBorder="0" applyAlignment="0" applyProtection="0"/>
    <xf numFmtId="0" fontId="24" fillId="9" borderId="0" applyNumberFormat="0" applyBorder="0" applyAlignment="0" applyProtection="0"/>
    <xf numFmtId="0" fontId="25" fillId="10" borderId="0" applyNumberFormat="0" applyBorder="0" applyAlignment="0" applyProtection="0"/>
    <xf numFmtId="0" fontId="26" fillId="11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26" fillId="22" borderId="0" applyNumberFormat="0" applyBorder="0" applyAlignment="0" applyProtection="0"/>
    <xf numFmtId="0" fontId="26" fillId="23" borderId="0" applyNumberFormat="0" applyBorder="0" applyAlignment="0" applyProtection="0"/>
    <xf numFmtId="0" fontId="0" fillId="24" borderId="0" applyNumberFormat="0" applyBorder="0" applyAlignment="0" applyProtection="0"/>
    <xf numFmtId="0" fontId="0" fillId="25" borderId="0" applyNumberFormat="0" applyBorder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0" fillId="28" borderId="0" applyNumberFormat="0" applyBorder="0" applyAlignment="0" applyProtection="0"/>
    <xf numFmtId="0" fontId="0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1" borderId="0" applyNumberFormat="0" applyBorder="0" applyAlignment="0" applyProtection="0"/>
    <xf numFmtId="0" fontId="0" fillId="32" borderId="0" applyNumberFormat="0" applyBorder="0" applyAlignment="0" applyProtection="0"/>
    <xf numFmtId="0" fontId="0" fillId="33" borderId="0" applyNumberFormat="0" applyBorder="0" applyAlignment="0" applyProtection="0"/>
    <xf numFmtId="0" fontId="26" fillId="34" borderId="0" applyNumberFormat="0" applyBorder="0" applyAlignment="0" applyProtection="0"/>
  </cellStyleXfs>
  <cellXfs count="60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9" fontId="3" fillId="3" borderId="2" xfId="0" applyNumberFormat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180" fontId="3" fillId="0" borderId="2" xfId="0" applyNumberFormat="1" applyFont="1" applyBorder="1" applyAlignment="1">
      <alignment horizontal="center" vertical="center"/>
    </xf>
    <xf numFmtId="180" fontId="3" fillId="0" borderId="3" xfId="0" applyNumberFormat="1" applyFont="1" applyBorder="1" applyAlignment="1">
      <alignment horizontal="center" vertical="center"/>
    </xf>
    <xf numFmtId="180" fontId="3" fillId="0" borderId="4" xfId="0" applyNumberFormat="1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10" fontId="3" fillId="0" borderId="1" xfId="3" applyNumberFormat="1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/>
    </xf>
    <xf numFmtId="2" fontId="3" fillId="0" borderId="1" xfId="3" applyNumberFormat="1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 applyProtection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0" xfId="0" applyFill="1"/>
    <xf numFmtId="0" fontId="7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6" fillId="0" borderId="14" xfId="0" applyFont="1" applyFill="1" applyBorder="1" applyAlignment="1" applyProtection="1">
      <alignment horizontal="center" vertical="center" wrapText="1"/>
    </xf>
    <xf numFmtId="181" fontId="9" fillId="0" borderId="1" xfId="0" applyNumberFormat="1" applyFont="1" applyFill="1" applyBorder="1" applyAlignment="1">
      <alignment horizontal="center" vertical="center"/>
    </xf>
    <xf numFmtId="182" fontId="0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 quotePrefix="1">
      <alignment horizontal="center" vertical="center"/>
    </xf>
    <xf numFmtId="0" fontId="3" fillId="0" borderId="2" xfId="0" applyFont="1" applyBorder="1" applyAlignment="1" quotePrefix="1">
      <alignment horizontal="center" vertical="center"/>
    </xf>
    <xf numFmtId="0" fontId="1" fillId="0" borderId="0" xfId="0" applyFont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QP Result Snapshot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'Batch Analysis - Tabular'!$B$8</c:f>
              <c:strCache>
                <c:ptCount val="1"/>
                <c:pt idx="0">
                  <c:v>Enrolled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'Batch Analysis - Tabular'!$C$8</c:f>
              <c:numCache>
                <c:formatCode>0</c:formatCode>
                <c:ptCount val="1"/>
                <c:pt idx="0">
                  <c:v>1</c:v>
                </c:pt>
              </c:numCache>
            </c:numRef>
          </c:val>
        </c:ser>
        <c:ser>
          <c:idx val="1"/>
          <c:order val="1"/>
          <c:tx>
            <c:strRef>
              <c:f>'Batch Analysis - Tabular'!$B$9</c:f>
              <c:strCache>
                <c:ptCount val="1"/>
                <c:pt idx="0">
                  <c:v>Appeared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'Batch Analysis - Tabular'!$C$9</c:f>
              <c:numCache>
                <c:formatCode>0</c:formatCode>
                <c:ptCount val="1"/>
                <c:pt idx="0">
                  <c:v>1</c:v>
                </c:pt>
              </c:numCache>
            </c:numRef>
          </c:val>
        </c:ser>
        <c:ser>
          <c:idx val="2"/>
          <c:order val="2"/>
          <c:tx>
            <c:strRef>
              <c:f>'Batch Analysis - Tabular'!$B$10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'Batch Analysis - Tabular'!$C$10</c:f>
              <c:numCache>
                <c:formatCode>0</c:formatCode>
                <c:ptCount val="1"/>
                <c:pt idx="0">
                  <c:v>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8585344"/>
        <c:axId val="68586880"/>
      </c:barChart>
      <c:catAx>
        <c:axId val="6858534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586880"/>
        <c:crosses val="autoZero"/>
        <c:auto val="1"/>
        <c:lblAlgn val="ctr"/>
        <c:lblOffset val="100"/>
        <c:noMultiLvlLbl val="0"/>
      </c:catAx>
      <c:valAx>
        <c:axId val="68586880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585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1859efa-8edf-4270-b7a8-986d1234649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NOS Wise Analysis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66866121885993"/>
          <c:y val="0.128432671081678"/>
          <c:w val="0.905408610313125"/>
          <c:h val="0.55225773930576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'Batch Analysis - Tabular'!$B$12</c:f>
              <c:strCache>
                <c:ptCount val="1"/>
                <c:pt idx="0">
                  <c:v>% Students Passed 
(On Appeared)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'Batch Analysis - Tabular'!$A$13:$A$18</c:f>
              <c:strCache>
                <c:ptCount val="6"/>
                <c:pt idx="0">
                  <c:v>MEP/N2601</c:v>
                </c:pt>
                <c:pt idx="1">
                  <c:v>MEP/N2602</c:v>
                </c:pt>
                <c:pt idx="2">
                  <c:v>MEP/N2618</c:v>
                </c:pt>
                <c:pt idx="3">
                  <c:v>MEP/N2604</c:v>
                </c:pt>
                <c:pt idx="4">
                  <c:v>MEP/N9903</c:v>
                </c:pt>
                <c:pt idx="5">
                  <c:v>MEP/N9912</c:v>
                </c:pt>
              </c:strCache>
            </c:strRef>
          </c:cat>
          <c:val>
            <c:numRef>
              <c:f>'Batch Analysis - Tabular'!$B$13:$B$18</c:f>
              <c:numCache>
                <c:formatCode>0.00%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</c:numCache>
            </c:numRef>
          </c:val>
        </c:ser>
        <c:ser>
          <c:idx val="1"/>
          <c:order val="1"/>
          <c:tx>
            <c:strRef>
              <c:f>'Batch Analysis - Tabular'!$C$12</c:f>
              <c:strCache>
                <c:ptCount val="1"/>
                <c:pt idx="0">
                  <c:v>Mean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'Batch Analysis - Tabular'!$A$13:$A$18</c:f>
              <c:strCache>
                <c:ptCount val="6"/>
                <c:pt idx="0">
                  <c:v>MEP/N2601</c:v>
                </c:pt>
                <c:pt idx="1">
                  <c:v>MEP/N2602</c:v>
                </c:pt>
                <c:pt idx="2">
                  <c:v>MEP/N2618</c:v>
                </c:pt>
                <c:pt idx="3">
                  <c:v>MEP/N2604</c:v>
                </c:pt>
                <c:pt idx="4">
                  <c:v>MEP/N9903</c:v>
                </c:pt>
                <c:pt idx="5">
                  <c:v>MEP/N9912</c:v>
                </c:pt>
              </c:strCache>
            </c:strRef>
          </c:cat>
          <c:val>
            <c:numRef>
              <c:f>'Batch Analysis - Tabular'!$C$13:$C$18</c:f>
              <c:numCache>
                <c:formatCode>0.00</c:formatCode>
                <c:ptCount val="6"/>
                <c:pt idx="0">
                  <c:v>95</c:v>
                </c:pt>
                <c:pt idx="1">
                  <c:v>90</c:v>
                </c:pt>
                <c:pt idx="2">
                  <c:v>100</c:v>
                </c:pt>
                <c:pt idx="3">
                  <c:v>75</c:v>
                </c:pt>
                <c:pt idx="4">
                  <c:v>70</c:v>
                </c:pt>
                <c:pt idx="5">
                  <c:v>96</c:v>
                </c:pt>
              </c:numCache>
            </c:numRef>
          </c:val>
        </c:ser>
        <c:ser>
          <c:idx val="2"/>
          <c:order val="2"/>
          <c:tx>
            <c:strRef>
              <c:f>'Batch Analysis - Tabular'!$D$12</c:f>
              <c:strCache>
                <c:ptCount val="1"/>
                <c:pt idx="0">
                  <c:v>Minimum Obtained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'Batch Analysis - Tabular'!$A$13:$A$18</c:f>
              <c:strCache>
                <c:ptCount val="6"/>
                <c:pt idx="0">
                  <c:v>MEP/N2601</c:v>
                </c:pt>
                <c:pt idx="1">
                  <c:v>MEP/N2602</c:v>
                </c:pt>
                <c:pt idx="2">
                  <c:v>MEP/N2618</c:v>
                </c:pt>
                <c:pt idx="3">
                  <c:v>MEP/N2604</c:v>
                </c:pt>
                <c:pt idx="4">
                  <c:v>MEP/N9903</c:v>
                </c:pt>
                <c:pt idx="5">
                  <c:v>MEP/N9912</c:v>
                </c:pt>
              </c:strCache>
            </c:strRef>
          </c:cat>
          <c:val>
            <c:numRef>
              <c:f>'Batch Analysis - Tabular'!$D$13:$D$18</c:f>
              <c:numCache>
                <c:formatCode>0.00</c:formatCode>
                <c:ptCount val="6"/>
                <c:pt idx="0">
                  <c:v>95</c:v>
                </c:pt>
                <c:pt idx="1">
                  <c:v>90</c:v>
                </c:pt>
                <c:pt idx="2">
                  <c:v>100</c:v>
                </c:pt>
                <c:pt idx="3">
                  <c:v>75</c:v>
                </c:pt>
                <c:pt idx="4">
                  <c:v>70</c:v>
                </c:pt>
                <c:pt idx="5">
                  <c:v>96</c:v>
                </c:pt>
              </c:numCache>
            </c:numRef>
          </c:val>
        </c:ser>
        <c:ser>
          <c:idx val="3"/>
          <c:order val="3"/>
          <c:tx>
            <c:strRef>
              <c:f>'Batch Analysis - Tabular'!$E$12</c:f>
              <c:strCache>
                <c:ptCount val="1"/>
                <c:pt idx="0">
                  <c:v>Maximum Obtained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0.00883002207505519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'Batch Analysis - Tabular'!$A$13:$A$18</c:f>
              <c:strCache>
                <c:ptCount val="6"/>
                <c:pt idx="0">
                  <c:v>MEP/N2601</c:v>
                </c:pt>
                <c:pt idx="1">
                  <c:v>MEP/N2602</c:v>
                </c:pt>
                <c:pt idx="2">
                  <c:v>MEP/N2618</c:v>
                </c:pt>
                <c:pt idx="3">
                  <c:v>MEP/N2604</c:v>
                </c:pt>
                <c:pt idx="4">
                  <c:v>MEP/N9903</c:v>
                </c:pt>
                <c:pt idx="5">
                  <c:v>MEP/N9912</c:v>
                </c:pt>
              </c:strCache>
            </c:strRef>
          </c:cat>
          <c:val>
            <c:numRef>
              <c:f>'Batch Analysis - Tabular'!$E$13:$E$18</c:f>
              <c:numCache>
                <c:formatCode>0.00</c:formatCode>
                <c:ptCount val="6"/>
                <c:pt idx="0">
                  <c:v>95</c:v>
                </c:pt>
                <c:pt idx="1">
                  <c:v>90</c:v>
                </c:pt>
                <c:pt idx="2">
                  <c:v>100</c:v>
                </c:pt>
                <c:pt idx="3">
                  <c:v>75</c:v>
                </c:pt>
                <c:pt idx="4">
                  <c:v>70</c:v>
                </c:pt>
                <c:pt idx="5">
                  <c:v>96</c:v>
                </c:pt>
              </c:numCache>
            </c:numRef>
          </c:val>
        </c:ser>
        <c:ser>
          <c:idx val="4"/>
          <c:order val="4"/>
          <c:tx>
            <c:strRef>
              <c:f>'Batch Analysis - Tabular'!$F$12</c:f>
              <c:strCache>
                <c:ptCount val="1"/>
                <c:pt idx="0">
                  <c:v>Median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'Batch Analysis - Tabular'!$A$13:$A$18</c:f>
              <c:strCache>
                <c:ptCount val="6"/>
                <c:pt idx="0">
                  <c:v>MEP/N2601</c:v>
                </c:pt>
                <c:pt idx="1">
                  <c:v>MEP/N2602</c:v>
                </c:pt>
                <c:pt idx="2">
                  <c:v>MEP/N2618</c:v>
                </c:pt>
                <c:pt idx="3">
                  <c:v>MEP/N2604</c:v>
                </c:pt>
                <c:pt idx="4">
                  <c:v>MEP/N9903</c:v>
                </c:pt>
                <c:pt idx="5">
                  <c:v>MEP/N9912</c:v>
                </c:pt>
              </c:strCache>
            </c:strRef>
          </c:cat>
          <c:val>
            <c:numRef>
              <c:f>'Batch Analysis - Tabular'!$F$13:$F$18</c:f>
              <c:numCache>
                <c:formatCode>0.00</c:formatCode>
                <c:ptCount val="6"/>
                <c:pt idx="0">
                  <c:v>95</c:v>
                </c:pt>
                <c:pt idx="1">
                  <c:v>90</c:v>
                </c:pt>
                <c:pt idx="2">
                  <c:v>100</c:v>
                </c:pt>
                <c:pt idx="3">
                  <c:v>75</c:v>
                </c:pt>
                <c:pt idx="4">
                  <c:v>70</c:v>
                </c:pt>
                <c:pt idx="5">
                  <c:v>96</c:v>
                </c:pt>
              </c:numCache>
            </c:numRef>
          </c:val>
        </c:ser>
        <c:ser>
          <c:idx val="5"/>
          <c:order val="5"/>
          <c:tx>
            <c:strRef>
              <c:f>'Batch Analysis - Tabular'!$G$12</c:f>
              <c:strCache>
                <c:ptCount val="1"/>
                <c:pt idx="0">
                  <c:v>SD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'Batch Analysis - Tabular'!$A$13:$A$18</c:f>
              <c:strCache>
                <c:ptCount val="6"/>
                <c:pt idx="0">
                  <c:v>MEP/N2601</c:v>
                </c:pt>
                <c:pt idx="1">
                  <c:v>MEP/N2602</c:v>
                </c:pt>
                <c:pt idx="2">
                  <c:v>MEP/N2618</c:v>
                </c:pt>
                <c:pt idx="3">
                  <c:v>MEP/N2604</c:v>
                </c:pt>
                <c:pt idx="4">
                  <c:v>MEP/N9903</c:v>
                </c:pt>
                <c:pt idx="5">
                  <c:v>MEP/N9912</c:v>
                </c:pt>
              </c:strCache>
            </c:strRef>
          </c:cat>
          <c:val>
            <c:numRef>
              <c:f>'Batch Analysis - Tabular'!$G$13:$G$18</c:f>
              <c:numCache>
                <c:formatCode>0.00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8621824"/>
        <c:axId val="68623360"/>
      </c:barChart>
      <c:catAx>
        <c:axId val="68621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623360"/>
        <c:crosses val="autoZero"/>
        <c:auto val="1"/>
        <c:lblAlgn val="ctr"/>
        <c:lblOffset val="100"/>
        <c:noMultiLvlLbl val="0"/>
      </c:catAx>
      <c:valAx>
        <c:axId val="68623360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621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877ef87-1ce9-46ba-9635-47785071f17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Gender Wise Analysis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'Batch Analysis - Tabular'!$F$7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'Batch Analysis - Tabular'!$B$8:$B$10</c:f>
              <c:strCache>
                <c:ptCount val="3"/>
                <c:pt idx="0">
                  <c:v>Enrolled</c:v>
                </c:pt>
                <c:pt idx="1">
                  <c:v>Appeared</c:v>
                </c:pt>
                <c:pt idx="2">
                  <c:v>Passed</c:v>
                </c:pt>
              </c:strCache>
            </c:strRef>
          </c:cat>
          <c:val>
            <c:numRef>
              <c:f>'Batch Analysis - Tabular'!$F$8:$F$10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</c:ser>
        <c:ser>
          <c:idx val="1"/>
          <c:order val="1"/>
          <c:tx>
            <c:strRef>
              <c:f>'Batch Analysis - Tabular'!$G$7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'Batch Analysis - Tabular'!$B$8:$B$10</c:f>
              <c:strCache>
                <c:ptCount val="3"/>
                <c:pt idx="0">
                  <c:v>Enrolled</c:v>
                </c:pt>
                <c:pt idx="1">
                  <c:v>Appeared</c:v>
                </c:pt>
                <c:pt idx="2">
                  <c:v>Passed</c:v>
                </c:pt>
              </c:strCache>
            </c:strRef>
          </c:cat>
          <c:val>
            <c:numRef>
              <c:f>'Batch Analysis - Tabular'!$G$8:$G$10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738880"/>
        <c:axId val="69740416"/>
      </c:barChart>
      <c:catAx>
        <c:axId val="69738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740416"/>
        <c:crosses val="autoZero"/>
        <c:auto val="1"/>
        <c:lblAlgn val="ctr"/>
        <c:lblOffset val="100"/>
        <c:noMultiLvlLbl val="0"/>
      </c:catAx>
      <c:valAx>
        <c:axId val="69740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738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191d339-8ae6-4c7c-a529-edb386d8d74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192405</xdr:colOff>
      <xdr:row>2</xdr:row>
      <xdr:rowOff>85725</xdr:rowOff>
    </xdr:from>
    <xdr:to>
      <xdr:col>7</xdr:col>
      <xdr:colOff>325755</xdr:colOff>
      <xdr:row>17</xdr:row>
      <xdr:rowOff>95250</xdr:rowOff>
    </xdr:to>
    <xdr:graphicFrame>
      <xdr:nvGraphicFramePr>
        <xdr:cNvPr id="2" name="Chart 1"/>
        <xdr:cNvGraphicFramePr/>
      </xdr:nvGraphicFramePr>
      <xdr:xfrm>
        <a:off x="192405" y="466725"/>
        <a:ext cx="4333875" cy="28670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483870</xdr:colOff>
      <xdr:row>2</xdr:row>
      <xdr:rowOff>85725</xdr:rowOff>
    </xdr:from>
    <xdr:to>
      <xdr:col>16</xdr:col>
      <xdr:colOff>36195</xdr:colOff>
      <xdr:row>17</xdr:row>
      <xdr:rowOff>104775</xdr:rowOff>
    </xdr:to>
    <xdr:graphicFrame>
      <xdr:nvGraphicFramePr>
        <xdr:cNvPr id="3" name="Chart 2"/>
        <xdr:cNvGraphicFramePr/>
      </xdr:nvGraphicFramePr>
      <xdr:xfrm>
        <a:off x="4684395" y="466725"/>
        <a:ext cx="4953000" cy="28765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198120</xdr:colOff>
      <xdr:row>2</xdr:row>
      <xdr:rowOff>76200</xdr:rowOff>
    </xdr:from>
    <xdr:to>
      <xdr:col>23</xdr:col>
      <xdr:colOff>502920</xdr:colOff>
      <xdr:row>17</xdr:row>
      <xdr:rowOff>76200</xdr:rowOff>
    </xdr:to>
    <xdr:graphicFrame>
      <xdr:nvGraphicFramePr>
        <xdr:cNvPr id="4" name="Chart 3"/>
        <xdr:cNvGraphicFramePr/>
      </xdr:nvGraphicFramePr>
      <xdr:xfrm>
        <a:off x="9799320" y="457200"/>
        <a:ext cx="4505325" cy="2857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T13"/>
  <sheetViews>
    <sheetView showGridLines="0" tabSelected="1" zoomScale="90" zoomScaleNormal="90" workbookViewId="0">
      <selection activeCell="C10" sqref="C10"/>
    </sheetView>
  </sheetViews>
  <sheetFormatPr defaultColWidth="9.17142857142857" defaultRowHeight="15"/>
  <cols>
    <col min="1" max="1" width="33.0190476190476" customWidth="1"/>
    <col min="2" max="2" width="39.552380952381" customWidth="1"/>
    <col min="3" max="3" width="17.6666666666667" customWidth="1"/>
    <col min="4" max="4" width="17.9333333333333" customWidth="1"/>
    <col min="5" max="5" width="16.552380952381" customWidth="1"/>
    <col min="6" max="6" width="19" customWidth="1"/>
    <col min="7" max="7" width="15.0761904761905" customWidth="1"/>
    <col min="8" max="8" width="19" customWidth="1"/>
    <col min="9" max="9" width="12.2190476190476" customWidth="1"/>
    <col min="10" max="10" width="19" customWidth="1"/>
    <col min="11" max="11" width="12.5428571428571" customWidth="1"/>
    <col min="12" max="12" width="19" customWidth="1"/>
    <col min="13" max="13" width="13.4857142857143" customWidth="1"/>
    <col min="14" max="14" width="19" customWidth="1"/>
    <col min="15" max="15" width="14.2857142857143" customWidth="1"/>
    <col min="16" max="16" width="19.552380952381" customWidth="1"/>
    <col min="17" max="17" width="13.9619047619048" customWidth="1"/>
    <col min="18" max="18" width="14.1238095238095" customWidth="1"/>
    <col min="19" max="19" width="16.1904761904762" customWidth="1"/>
    <col min="20" max="20" width="19.5238095238095" customWidth="1"/>
  </cols>
  <sheetData>
    <row r="1" ht="24" customHeight="1" spans="1:20">
      <c r="A1" s="50" t="s">
        <v>0</v>
      </c>
      <c r="B1" s="50"/>
      <c r="C1" s="50"/>
      <c r="D1" s="50"/>
      <c r="E1" s="50"/>
      <c r="F1" s="50"/>
      <c r="G1" s="50"/>
      <c r="H1" s="50"/>
      <c r="I1" s="50"/>
      <c r="J1" s="50"/>
      <c r="K1" s="50"/>
    </row>
    <row r="2" ht="21" customHeight="1" spans="1:20">
      <c r="A2" s="51" t="s">
        <v>1</v>
      </c>
      <c r="B2" s="51"/>
      <c r="C2" s="51"/>
      <c r="D2" s="51"/>
      <c r="E2" s="51"/>
      <c r="F2" s="51"/>
      <c r="G2" s="51"/>
      <c r="H2" s="51"/>
      <c r="I2" s="51"/>
      <c r="J2" s="51"/>
      <c r="K2" s="51"/>
    </row>
    <row r="3" ht="28" customHeight="1" spans="1:20">
      <c r="A3" s="52" t="s">
        <v>2</v>
      </c>
      <c r="B3" s="53" t="s">
        <v>3</v>
      </c>
    </row>
    <row r="4" ht="19" customHeight="1" spans="1:20">
      <c r="A4" s="48" t="s">
        <v>4</v>
      </c>
      <c r="B4" s="54" t="s">
        <v>5</v>
      </c>
    </row>
    <row r="5" ht="19" customHeight="1" spans="1:20">
      <c r="A5" s="48" t="s">
        <v>6</v>
      </c>
      <c r="B5" s="54" t="s">
        <v>7</v>
      </c>
    </row>
    <row r="6" ht="19" customHeight="1" spans="1:20">
      <c r="A6" s="48" t="s">
        <v>8</v>
      </c>
      <c r="B6" s="54" t="s">
        <v>9</v>
      </c>
    </row>
    <row r="7" ht="19" customHeight="1" spans="1:20">
      <c r="A7" s="48" t="s">
        <v>10</v>
      </c>
      <c r="B7" s="54" t="s">
        <v>11</v>
      </c>
    </row>
    <row r="8" customFormat="1" ht="19" customHeight="1" spans="1:20">
      <c r="A8" s="48" t="s">
        <v>12</v>
      </c>
      <c r="B8" s="54" t="s">
        <v>13</v>
      </c>
    </row>
    <row r="9" s="49" customFormat="1" ht="19" customHeight="1" spans="1:20">
      <c r="A9" s="48" t="s">
        <v>14</v>
      </c>
      <c r="B9" s="60" t="str">
        <f>A13</f>
        <v>260120260828</v>
      </c>
    </row>
    <row r="10" s="49" customFormat="1" spans="1:20">
      <c r="A10" s="55"/>
      <c r="B10" s="55"/>
    </row>
    <row r="12" ht="45" customHeight="1" spans="1:20">
      <c r="A12" s="56" t="s">
        <v>14</v>
      </c>
      <c r="B12" s="56" t="s">
        <v>15</v>
      </c>
      <c r="C12" s="56" t="s">
        <v>16</v>
      </c>
      <c r="D12" s="56" t="s">
        <v>17</v>
      </c>
      <c r="E12" s="56" t="s">
        <v>18</v>
      </c>
      <c r="F12" s="31" t="s">
        <v>19</v>
      </c>
      <c r="G12" s="31" t="s">
        <v>20</v>
      </c>
      <c r="H12" s="31" t="s">
        <v>21</v>
      </c>
      <c r="I12" s="31" t="s">
        <v>20</v>
      </c>
      <c r="J12" s="31" t="s">
        <v>22</v>
      </c>
      <c r="K12" s="31" t="s">
        <v>20</v>
      </c>
      <c r="L12" s="31" t="s">
        <v>23</v>
      </c>
      <c r="M12" s="31" t="s">
        <v>20</v>
      </c>
      <c r="N12" s="31" t="s">
        <v>24</v>
      </c>
      <c r="O12" s="31" t="s">
        <v>20</v>
      </c>
      <c r="P12" s="31" t="s">
        <v>25</v>
      </c>
      <c r="Q12" s="31" t="s">
        <v>20</v>
      </c>
      <c r="R12" s="31" t="s">
        <v>26</v>
      </c>
      <c r="S12" s="31" t="s">
        <v>27</v>
      </c>
      <c r="T12" s="31" t="s">
        <v>28</v>
      </c>
    </row>
    <row r="13" ht="24" customHeight="1" spans="1:20">
      <c r="A13" s="60" t="s">
        <v>29</v>
      </c>
      <c r="B13" s="57" t="s">
        <v>30</v>
      </c>
      <c r="C13" s="57" t="s">
        <v>31</v>
      </c>
      <c r="D13" s="57" t="s">
        <v>32</v>
      </c>
      <c r="E13" s="58">
        <v>46241</v>
      </c>
      <c r="F13" s="57">
        <v>95</v>
      </c>
      <c r="G13" s="54" t="str">
        <f t="shared" ref="G13:K13" si="0">IF(F13/100*100&gt;=80,"Pass","Fail")</f>
        <v>Pass</v>
      </c>
      <c r="H13" s="57">
        <v>90</v>
      </c>
      <c r="I13" s="54" t="str">
        <f t="shared" si="0"/>
        <v>Pass</v>
      </c>
      <c r="J13" s="57">
        <v>100</v>
      </c>
      <c r="K13" s="54" t="str">
        <f t="shared" si="0"/>
        <v>Pass</v>
      </c>
      <c r="L13" s="57">
        <v>75</v>
      </c>
      <c r="M13" s="54" t="str">
        <f t="shared" ref="M13:Q13" si="1">IF(L13/100*100&gt;=80,"Pass","Fail")</f>
        <v>Fail</v>
      </c>
      <c r="N13" s="57">
        <v>70</v>
      </c>
      <c r="O13" s="54" t="str">
        <f t="shared" si="1"/>
        <v>Fail</v>
      </c>
      <c r="P13" s="57">
        <v>96</v>
      </c>
      <c r="Q13" s="54" t="str">
        <f t="shared" si="1"/>
        <v>Pass</v>
      </c>
      <c r="R13" s="48">
        <f>SUM(F13,H13,J13,L13,N13,P13)</f>
        <v>526</v>
      </c>
      <c r="S13" s="59">
        <f>R13/600*100</f>
        <v>87.6666666666667</v>
      </c>
      <c r="T13" s="54" t="str">
        <f>IF(S13=0,"ABSENT",IF(S13&gt;=80,"PASS","FAIL"))</f>
        <v>PASS</v>
      </c>
    </row>
  </sheetData>
  <autoFilter xmlns:etc="http://www.wps.cn/officeDocument/2017/etCustomData" ref="A12:T13" etc:filterBottomFollowUsedRange="0">
    <extLst/>
  </autoFilter>
  <mergeCells count="2">
    <mergeCell ref="A1:K1"/>
    <mergeCell ref="A2:K2"/>
  </mergeCells>
  <conditionalFormatting sqref="E13">
    <cfRule type="cellIs" dxfId="0" priority="25" operator="equal">
      <formula>"Fail"</formula>
    </cfRule>
  </conditionalFormatting>
  <conditionalFormatting sqref="G13">
    <cfRule type="cellIs" dxfId="0" priority="22" operator="equal">
      <formula>"Fail"</formula>
    </cfRule>
  </conditionalFormatting>
  <conditionalFormatting sqref="I13">
    <cfRule type="cellIs" dxfId="0" priority="20" operator="equal">
      <formula>"Fail"</formula>
    </cfRule>
  </conditionalFormatting>
  <conditionalFormatting sqref="K13">
    <cfRule type="cellIs" dxfId="0" priority="18" operator="equal">
      <formula>"Fail"</formula>
    </cfRule>
  </conditionalFormatting>
  <conditionalFormatting sqref="M13">
    <cfRule type="cellIs" dxfId="0" priority="14" operator="equal">
      <formula>"Fail"</formula>
    </cfRule>
  </conditionalFormatting>
  <conditionalFormatting sqref="O13">
    <cfRule type="cellIs" dxfId="0" priority="12" operator="equal">
      <formula>"Fail"</formula>
    </cfRule>
  </conditionalFormatting>
  <conditionalFormatting sqref="Q13">
    <cfRule type="cellIs" dxfId="0" priority="10" operator="equal">
      <formula>"Fail"</formula>
    </cfRule>
  </conditionalFormatting>
  <conditionalFormatting sqref="T13">
    <cfRule type="containsText" dxfId="1" priority="1" operator="between" text="Absent">
      <formula>NOT(ISERROR(SEARCH("Absent",T13)))</formula>
    </cfRule>
    <cfRule type="cellIs" dxfId="0" priority="24" operator="equal">
      <formula>"Fail"</formula>
    </cfRule>
  </conditionalFormatting>
  <conditionalFormatting sqref="F13 H13 J13 L13 N13 P13 R13">
    <cfRule type="cellIs" dxfId="0" priority="27" operator="equal">
      <formula>"Fail"</formula>
    </cfRule>
  </conditionalFormatting>
  <pageMargins left="0.7" right="0.7" top="0.75" bottom="0.75" header="0.3" footer="0.3"/>
  <pageSetup paperSize="1" orientation="portrait"/>
  <headerFooter/>
  <ignoredErrors>
    <ignoredError sqref="A1:T3 A4 C4:T4 A5:T6 A7:A8 C7:T8 G13 I13 K13 M13 O13 Q13:S13 A9:T12" emptyCellReferenc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G97"/>
  <sheetViews>
    <sheetView showGridLines="0" zoomScale="90" zoomScaleNormal="90" workbookViewId="0">
      <selection activeCell="J4" sqref="J4"/>
    </sheetView>
  </sheetViews>
  <sheetFormatPr defaultColWidth="9" defaultRowHeight="15" outlineLevelCol="6"/>
  <cols>
    <col min="1" max="1" width="16.6666666666667" customWidth="1"/>
    <col min="2" max="2" width="13" customWidth="1"/>
    <col min="3" max="3" width="15.3904761904762" customWidth="1"/>
    <col min="4" max="4" width="15.552380952381" customWidth="1"/>
    <col min="5" max="5" width="14.2761904761905" customWidth="1"/>
    <col min="6" max="7" width="12.6952380952381" customWidth="1"/>
    <col min="8" max="8" width="10.6285714285714" customWidth="1"/>
  </cols>
  <sheetData>
    <row r="1" ht="24" customHeight="1" spans="1:7">
      <c r="A1" s="2" t="s">
        <v>33</v>
      </c>
      <c r="B1" s="2"/>
      <c r="C1" s="2"/>
      <c r="D1" s="2"/>
      <c r="E1" s="2"/>
      <c r="F1" s="2"/>
      <c r="G1" s="2"/>
    </row>
    <row r="2" ht="21" customHeight="1" spans="1:7">
      <c r="A2" s="3" t="s">
        <v>34</v>
      </c>
      <c r="B2" s="3"/>
      <c r="C2" s="3"/>
      <c r="D2" s="3"/>
      <c r="E2" s="3"/>
      <c r="F2" s="3"/>
      <c r="G2" s="3"/>
    </row>
    <row r="3" ht="23" customHeight="1" spans="1:7">
      <c r="A3" s="4" t="s">
        <v>35</v>
      </c>
      <c r="B3" s="61" t="str">
        <f>score_sheet!B9</f>
        <v>260120260828</v>
      </c>
      <c r="C3" s="6"/>
      <c r="D3" s="6"/>
      <c r="E3" s="6"/>
      <c r="F3" s="6"/>
      <c r="G3" s="7"/>
    </row>
    <row r="4" ht="34" customHeight="1" spans="1:7">
      <c r="A4" s="2" t="s">
        <v>36</v>
      </c>
      <c r="B4" s="8" t="str">
        <f>score_sheet!B7</f>
        <v>TTT-TVET</v>
      </c>
      <c r="C4" s="9"/>
      <c r="D4" s="2" t="s">
        <v>37</v>
      </c>
      <c r="E4" s="10">
        <v>0.8</v>
      </c>
      <c r="F4" s="11"/>
      <c r="G4" s="9"/>
    </row>
    <row r="5" ht="23" customHeight="1" spans="1:7">
      <c r="A5" s="4" t="s">
        <v>18</v>
      </c>
      <c r="B5" s="12">
        <f>score_sheet!E13</f>
        <v>46241</v>
      </c>
      <c r="C5" s="13"/>
      <c r="D5" s="13"/>
      <c r="E5" s="13"/>
      <c r="F5" s="13"/>
      <c r="G5" s="14"/>
    </row>
    <row r="6" ht="23" customHeight="1" spans="1:7">
      <c r="A6" s="4" t="s">
        <v>38</v>
      </c>
      <c r="B6" s="15" t="s">
        <v>9</v>
      </c>
      <c r="C6" s="16" t="str">
        <f>score_sheet!B5</f>
        <v>Trainer (VET and Skills)_V2</v>
      </c>
      <c r="D6" s="17"/>
      <c r="E6" s="17"/>
      <c r="F6" s="17"/>
      <c r="G6" s="18"/>
    </row>
    <row r="7" ht="19" customHeight="1" spans="1:7">
      <c r="A7" s="19" t="s">
        <v>39</v>
      </c>
      <c r="B7" s="20"/>
      <c r="C7" s="4" t="s">
        <v>26</v>
      </c>
      <c r="D7" s="21" t="s">
        <v>40</v>
      </c>
      <c r="E7" s="22"/>
      <c r="F7" s="2" t="s">
        <v>32</v>
      </c>
      <c r="G7" s="2" t="s">
        <v>41</v>
      </c>
    </row>
    <row r="8" ht="19" customHeight="1" spans="1:7">
      <c r="A8" s="23"/>
      <c r="B8" s="4" t="s">
        <v>42</v>
      </c>
      <c r="C8" s="24" cm="1">
        <f t="array" ref="C8">COUNTA(_xlfn._xlws.FILTER(score_sheet!A13:A4940,score_sheet!A13:A4940&lt;&gt;""))</f>
        <v>1</v>
      </c>
      <c r="D8" s="25"/>
      <c r="E8" s="26"/>
      <c r="F8" s="27">
        <f>COUNTIF(score_sheet!D13:D1940,"Male")</f>
        <v>1</v>
      </c>
      <c r="G8" s="27">
        <f>COUNTIF(score_sheet!D13:D1940,"Female")</f>
        <v>0</v>
      </c>
    </row>
    <row r="9" ht="19" customHeight="1" spans="1:7">
      <c r="A9" s="23"/>
      <c r="B9" s="4" t="s">
        <v>43</v>
      </c>
      <c r="C9" s="24" cm="1">
        <f t="array" ref="C9">COUNT(_xlfn._xlws.FILTER(score_sheet!J13:J4940,score_sheet!A13:A4940=B3,score_sheet!J13:J4940&lt;&gt;""))</f>
        <v>1</v>
      </c>
      <c r="D9" s="25"/>
      <c r="E9" s="26"/>
      <c r="F9" s="27">
        <f>COUNTIFS(score_sheet!D12:D13,"Male",score_sheet!T12:T13,"&lt;&gt;ABSENT")</f>
        <v>1</v>
      </c>
      <c r="G9" s="27">
        <f>COUNTIFS(score_sheet!D12:D13,"Female",score_sheet!T12:T13,"&lt;&gt;ABSENT")</f>
        <v>0</v>
      </c>
    </row>
    <row r="10" ht="19" customHeight="1" spans="1:7">
      <c r="A10" s="28"/>
      <c r="B10" s="4" t="s">
        <v>44</v>
      </c>
      <c r="C10" s="24">
        <f>COUNTIF(score_sheet!T:T,"Pass")</f>
        <v>1</v>
      </c>
      <c r="D10" s="29"/>
      <c r="E10" s="30"/>
      <c r="F10" s="27">
        <f>COUNTIFS(score_sheet!D12:D13,"Male",score_sheet!T12:T13,"PASS")</f>
        <v>1</v>
      </c>
      <c r="G10" s="27">
        <f>COUNTIFS(score_sheet!D12:D13,"Female",score_sheet!T12:T13,"PASS")</f>
        <v>0</v>
      </c>
    </row>
    <row r="11" ht="20" customHeight="1" spans="1:7">
      <c r="A11" s="3" t="s">
        <v>45</v>
      </c>
      <c r="B11" s="3"/>
      <c r="C11" s="3"/>
      <c r="D11" s="3"/>
      <c r="E11" s="3"/>
      <c r="F11" s="3"/>
      <c r="G11" s="3"/>
    </row>
    <row r="12" ht="48" customHeight="1" spans="1:7">
      <c r="A12" s="4"/>
      <c r="B12" s="2" t="s">
        <v>46</v>
      </c>
      <c r="C12" s="2" t="s">
        <v>47</v>
      </c>
      <c r="D12" s="2" t="s">
        <v>48</v>
      </c>
      <c r="E12" s="2" t="s">
        <v>49</v>
      </c>
      <c r="F12" s="2" t="s">
        <v>50</v>
      </c>
      <c r="G12" s="2" t="s">
        <v>51</v>
      </c>
    </row>
    <row r="13" ht="21" customHeight="1" spans="1:7">
      <c r="A13" s="31" t="s">
        <v>52</v>
      </c>
      <c r="B13" s="32">
        <f>COUNTIFS(score_sheet!G:G,"Pass")/C9</f>
        <v>1</v>
      </c>
      <c r="C13" s="33">
        <f>AVERAGE(score_sheet!F13:F13)</f>
        <v>95</v>
      </c>
      <c r="D13" s="33">
        <f>MIN(score_sheet!F13:F13)</f>
        <v>95</v>
      </c>
      <c r="E13" s="34">
        <f>MAX(score_sheet!F13:F13)</f>
        <v>95</v>
      </c>
      <c r="F13" s="35">
        <f>MEDIAN(score_sheet!F13:F13)</f>
        <v>95</v>
      </c>
      <c r="G13" s="34" t="e">
        <f>_xlfn.STDEV.S(score_sheet!F13:F13)</f>
        <v>#DIV/0!</v>
      </c>
    </row>
    <row r="14" ht="21" customHeight="1" spans="1:7">
      <c r="A14" s="31" t="s">
        <v>53</v>
      </c>
      <c r="B14" s="32">
        <f>COUNTIFS(score_sheet!I:I,"Pass")/C9</f>
        <v>1</v>
      </c>
      <c r="C14" s="33">
        <f>AVERAGE(score_sheet!H13:H13)</f>
        <v>90</v>
      </c>
      <c r="D14" s="33">
        <f>MIN(score_sheet!H13:H13)</f>
        <v>90</v>
      </c>
      <c r="E14" s="34">
        <f>MAX(score_sheet!H13:H13)</f>
        <v>90</v>
      </c>
      <c r="F14" s="35">
        <f>MEDIAN(score_sheet!H13:H13)</f>
        <v>90</v>
      </c>
      <c r="G14" s="34" t="e">
        <f>_xlfn.STDEV.S(score_sheet!H13:H13)</f>
        <v>#DIV/0!</v>
      </c>
    </row>
    <row r="15" ht="21" customHeight="1" spans="1:7">
      <c r="A15" s="31" t="s">
        <v>54</v>
      </c>
      <c r="B15" s="32">
        <f>COUNTIFS(score_sheet!K:K,"Pass")/C9</f>
        <v>1</v>
      </c>
      <c r="C15" s="33">
        <f>AVERAGE(score_sheet!J13:J13)</f>
        <v>100</v>
      </c>
      <c r="D15" s="33">
        <f>MIN(score_sheet!J13:J13)</f>
        <v>100</v>
      </c>
      <c r="E15" s="34">
        <f>MAX(score_sheet!J13:J13)</f>
        <v>100</v>
      </c>
      <c r="F15" s="35">
        <f>MEDIAN(score_sheet!J13:J13)</f>
        <v>100</v>
      </c>
      <c r="G15" s="34" t="e">
        <f>_xlfn.STDEV.S(score_sheet!J13:J13)</f>
        <v>#DIV/0!</v>
      </c>
    </row>
    <row r="16" ht="21" customHeight="1" spans="1:7">
      <c r="A16" s="31" t="s">
        <v>55</v>
      </c>
      <c r="B16" s="32">
        <f>COUNTIFS(score_sheet!M:M,"Pass")/C9</f>
        <v>0</v>
      </c>
      <c r="C16" s="33">
        <f>AVERAGE(score_sheet!L13:L13)</f>
        <v>75</v>
      </c>
      <c r="D16" s="33">
        <f>MIN(score_sheet!L13:L13)</f>
        <v>75</v>
      </c>
      <c r="E16" s="34">
        <f>MAX(score_sheet!L13:L13)</f>
        <v>75</v>
      </c>
      <c r="F16" s="35">
        <f>MEDIAN(score_sheet!L13:L13)</f>
        <v>75</v>
      </c>
      <c r="G16" s="34" t="e">
        <f>_xlfn.STDEV.S(score_sheet!L13:L13)</f>
        <v>#DIV/0!</v>
      </c>
    </row>
    <row r="17" ht="21" customHeight="1" spans="1:7">
      <c r="A17" s="31" t="s">
        <v>56</v>
      </c>
      <c r="B17" s="32">
        <f>COUNTIFS(score_sheet!O:O,"Pass")/C9</f>
        <v>0</v>
      </c>
      <c r="C17" s="33">
        <f>AVERAGE(score_sheet!N13:N13)</f>
        <v>70</v>
      </c>
      <c r="D17" s="33">
        <f>MIN(score_sheet!N13:N13)</f>
        <v>70</v>
      </c>
      <c r="E17" s="34">
        <f>MAX(score_sheet!N13:N13)</f>
        <v>70</v>
      </c>
      <c r="F17" s="35">
        <f>MEDIAN(score_sheet!N13:N13)</f>
        <v>70</v>
      </c>
      <c r="G17" s="34" t="e">
        <f>_xlfn.STDEV.S(score_sheet!N13:N13)</f>
        <v>#DIV/0!</v>
      </c>
    </row>
    <row r="18" ht="21" customHeight="1" spans="1:7">
      <c r="A18" s="31" t="s">
        <v>57</v>
      </c>
      <c r="B18" s="32">
        <f>COUNTIFS(score_sheet!Q:Q,"Pass")/C9</f>
        <v>1</v>
      </c>
      <c r="C18" s="33">
        <f>AVERAGE(score_sheet!P13:P13)</f>
        <v>96</v>
      </c>
      <c r="D18" s="33">
        <f>MIN(score_sheet!P13:P13)</f>
        <v>96</v>
      </c>
      <c r="E18" s="34">
        <f>MAX(score_sheet!P13:P13)</f>
        <v>96</v>
      </c>
      <c r="F18" s="35">
        <f>MEDIAN(score_sheet!P13:P13)</f>
        <v>96</v>
      </c>
      <c r="G18" s="34" t="e">
        <f>_xlfn.STDEV.S(score_sheet!P13:P13)</f>
        <v>#DIV/0!</v>
      </c>
    </row>
    <row r="19" ht="24" customHeight="1" spans="1:7">
      <c r="A19" s="3" t="s">
        <v>58</v>
      </c>
      <c r="B19" s="3"/>
      <c r="C19" s="3"/>
      <c r="D19" s="3"/>
      <c r="E19" s="3"/>
      <c r="F19" s="3"/>
      <c r="G19" s="3"/>
    </row>
    <row r="20" ht="22" customHeight="1" spans="1:7">
      <c r="A20" s="36"/>
      <c r="B20" s="37">
        <v>1</v>
      </c>
      <c r="C20" s="37">
        <v>2</v>
      </c>
      <c r="D20" s="37">
        <v>3</v>
      </c>
      <c r="E20" s="37">
        <v>4</v>
      </c>
      <c r="F20" s="37">
        <v>5</v>
      </c>
      <c r="G20" s="37">
        <v>6</v>
      </c>
    </row>
    <row r="21" ht="19" customHeight="1" spans="1:7">
      <c r="A21" s="38" t="s">
        <v>52</v>
      </c>
      <c r="B21" s="39"/>
      <c r="C21" s="39"/>
      <c r="D21" s="39"/>
      <c r="E21" s="39"/>
      <c r="F21" s="39"/>
      <c r="G21" s="39"/>
    </row>
    <row r="22" ht="19" customHeight="1" spans="1:7">
      <c r="A22" s="40"/>
      <c r="B22" s="39"/>
      <c r="C22" s="39"/>
      <c r="D22" s="39"/>
      <c r="E22" s="39"/>
      <c r="F22" s="39"/>
      <c r="G22" s="39"/>
    </row>
    <row r="23" ht="19" customHeight="1" spans="1:7">
      <c r="A23" s="40"/>
      <c r="B23" s="39"/>
      <c r="C23" s="39"/>
      <c r="D23" s="39"/>
      <c r="E23" s="39"/>
      <c r="F23" s="39"/>
      <c r="G23" s="39"/>
    </row>
    <row r="24" ht="19" customHeight="1" spans="1:7">
      <c r="A24" s="41"/>
      <c r="B24" s="39"/>
      <c r="C24" s="39"/>
      <c r="D24" s="39"/>
      <c r="E24" s="39"/>
      <c r="F24" s="39"/>
      <c r="G24" s="39"/>
    </row>
    <row r="25" ht="19" customHeight="1" spans="1:7">
      <c r="A25" s="38" t="s">
        <v>53</v>
      </c>
      <c r="B25" s="42"/>
      <c r="C25" s="43"/>
      <c r="D25" s="43"/>
      <c r="E25" s="43"/>
      <c r="F25" s="39"/>
      <c r="G25" s="39"/>
    </row>
    <row r="26" ht="19" customHeight="1" spans="1:7">
      <c r="A26" s="40"/>
      <c r="B26" s="39"/>
      <c r="C26" s="39"/>
      <c r="D26" s="39"/>
      <c r="E26" s="39"/>
      <c r="F26" s="39"/>
      <c r="G26" s="39"/>
    </row>
    <row r="27" ht="19" customHeight="1" spans="1:7">
      <c r="A27" s="40"/>
      <c r="B27" s="39"/>
      <c r="C27" s="39"/>
      <c r="D27" s="39"/>
      <c r="E27" s="39"/>
      <c r="F27" s="39"/>
      <c r="G27" s="39"/>
    </row>
    <row r="28" ht="19" customHeight="1" spans="1:7">
      <c r="A28" s="41"/>
      <c r="B28" s="39"/>
      <c r="C28" s="39"/>
      <c r="D28" s="39"/>
      <c r="E28" s="39"/>
      <c r="F28" s="39"/>
      <c r="G28" s="39"/>
    </row>
    <row r="29" ht="19" customHeight="1" spans="1:7">
      <c r="A29" s="31" t="s">
        <v>54</v>
      </c>
      <c r="B29" s="39"/>
      <c r="C29" s="39"/>
      <c r="D29" s="39"/>
      <c r="E29" s="39"/>
      <c r="F29" s="39"/>
      <c r="G29" s="39"/>
    </row>
    <row r="30" ht="19" customHeight="1" spans="1:7">
      <c r="A30" s="31"/>
      <c r="B30" s="39"/>
      <c r="C30" s="39"/>
      <c r="D30" s="39"/>
      <c r="E30" s="39"/>
      <c r="F30" s="39"/>
      <c r="G30" s="39"/>
    </row>
    <row r="31" ht="19" customHeight="1" spans="1:7">
      <c r="A31" s="31"/>
      <c r="B31" s="39"/>
      <c r="C31" s="39"/>
      <c r="D31" s="39"/>
      <c r="E31" s="39"/>
      <c r="F31" s="39"/>
      <c r="G31" s="39"/>
    </row>
    <row r="32" ht="19" customHeight="1" spans="1:7">
      <c r="A32" s="31"/>
      <c r="B32" s="39"/>
      <c r="C32" s="39"/>
      <c r="D32" s="39"/>
      <c r="E32" s="39"/>
      <c r="F32" s="39"/>
      <c r="G32" s="39"/>
    </row>
    <row r="33" ht="19" customHeight="1" spans="1:7">
      <c r="A33" s="31" t="s">
        <v>55</v>
      </c>
      <c r="B33" s="39" t="s">
        <v>59</v>
      </c>
      <c r="C33" s="39" t="s">
        <v>60</v>
      </c>
      <c r="D33" s="39" t="s">
        <v>61</v>
      </c>
      <c r="E33" s="39" t="s">
        <v>62</v>
      </c>
      <c r="F33" s="39" t="s">
        <v>63</v>
      </c>
      <c r="G33" s="39"/>
    </row>
    <row r="34" ht="19" customHeight="1" spans="1:7">
      <c r="A34" s="31"/>
      <c r="B34" s="39"/>
      <c r="C34" s="39"/>
      <c r="D34" s="39"/>
      <c r="E34" s="39"/>
      <c r="F34" s="39"/>
      <c r="G34" s="39"/>
    </row>
    <row r="35" ht="19" customHeight="1" spans="1:7">
      <c r="A35" s="31"/>
      <c r="B35" s="39"/>
      <c r="C35" s="39"/>
      <c r="D35" s="39"/>
      <c r="E35" s="39"/>
      <c r="F35" s="39"/>
      <c r="G35" s="39"/>
    </row>
    <row r="36" ht="19" customHeight="1" spans="1:7">
      <c r="A36" s="31"/>
      <c r="B36" s="39"/>
      <c r="C36" s="39"/>
      <c r="D36" s="39"/>
      <c r="E36" s="39"/>
      <c r="F36" s="39"/>
      <c r="G36" s="39"/>
    </row>
    <row r="37" ht="19" customHeight="1" spans="1:7">
      <c r="A37" s="31" t="s">
        <v>56</v>
      </c>
      <c r="B37" s="39" t="s">
        <v>64</v>
      </c>
      <c r="C37" s="39" t="s">
        <v>65</v>
      </c>
      <c r="D37" s="39"/>
      <c r="E37" s="39"/>
      <c r="F37" s="39"/>
      <c r="G37" s="39"/>
    </row>
    <row r="38" ht="19" customHeight="1" spans="1:7">
      <c r="A38" s="31"/>
      <c r="B38" s="39"/>
      <c r="C38" s="39"/>
      <c r="D38" s="39"/>
      <c r="E38" s="39"/>
      <c r="F38" s="39"/>
      <c r="G38" s="39"/>
    </row>
    <row r="39" ht="19" customHeight="1" spans="1:7">
      <c r="A39" s="31"/>
      <c r="B39" s="39"/>
      <c r="C39" s="39"/>
      <c r="D39" s="39"/>
      <c r="E39" s="39"/>
      <c r="F39" s="39"/>
      <c r="G39" s="39"/>
    </row>
    <row r="40" ht="19" customHeight="1" spans="1:7">
      <c r="A40" s="31"/>
      <c r="B40" s="39"/>
      <c r="C40" s="39"/>
      <c r="D40" s="39"/>
      <c r="E40" s="39"/>
      <c r="F40" s="39"/>
      <c r="G40" s="39"/>
    </row>
    <row r="41" ht="19" customHeight="1" spans="1:7">
      <c r="A41" s="31" t="s">
        <v>57</v>
      </c>
      <c r="B41" s="39" t="s">
        <v>66</v>
      </c>
      <c r="C41" s="39" t="s">
        <v>67</v>
      </c>
      <c r="D41" s="39"/>
      <c r="E41" s="39"/>
      <c r="F41" s="39"/>
      <c r="G41" s="39"/>
    </row>
    <row r="42" ht="19" customHeight="1" spans="1:7">
      <c r="A42" s="31"/>
      <c r="B42" s="39"/>
      <c r="C42" s="39"/>
      <c r="D42" s="39"/>
      <c r="E42" s="39"/>
      <c r="F42" s="39"/>
      <c r="G42" s="39"/>
    </row>
    <row r="43" ht="19" customHeight="1" spans="1:7">
      <c r="A43" s="31"/>
      <c r="B43" s="39"/>
      <c r="C43" s="39"/>
      <c r="D43" s="39"/>
      <c r="E43" s="44"/>
      <c r="F43" s="39"/>
      <c r="G43" s="39"/>
    </row>
    <row r="44" ht="19" customHeight="1" spans="1:7">
      <c r="A44" s="31"/>
      <c r="B44" s="39"/>
      <c r="C44" s="39"/>
      <c r="D44" s="39"/>
      <c r="E44" s="39"/>
      <c r="F44" s="39"/>
      <c r="G44" s="39"/>
    </row>
    <row r="45" ht="25" customHeight="1" spans="1:7">
      <c r="A45" s="45" t="s">
        <v>68</v>
      </c>
      <c r="B45" s="46"/>
      <c r="C45" s="46"/>
      <c r="D45" s="46"/>
      <c r="E45" s="46"/>
      <c r="F45" s="46"/>
      <c r="G45" s="47"/>
    </row>
    <row r="46" ht="19" customHeight="1" spans="1:7">
      <c r="A46" s="38" t="s">
        <v>52</v>
      </c>
      <c r="B46" s="48"/>
      <c r="C46" s="48"/>
      <c r="D46" s="48"/>
      <c r="E46" s="39"/>
      <c r="F46" s="39"/>
      <c r="G46" s="39"/>
    </row>
    <row r="47" ht="19" customHeight="1" spans="1:7">
      <c r="A47" s="40"/>
      <c r="B47" s="48"/>
      <c r="C47" s="48"/>
      <c r="D47" s="48"/>
      <c r="E47" s="39"/>
      <c r="F47" s="39"/>
      <c r="G47" s="39"/>
    </row>
    <row r="48" ht="19" customHeight="1" spans="1:7">
      <c r="A48" s="40"/>
      <c r="B48" s="48"/>
      <c r="C48" s="48"/>
      <c r="D48" s="48"/>
      <c r="E48" s="39"/>
      <c r="F48" s="39"/>
      <c r="G48" s="39"/>
    </row>
    <row r="49" ht="19" customHeight="1" spans="1:7">
      <c r="A49" s="41"/>
      <c r="B49" s="48"/>
      <c r="C49" s="48"/>
      <c r="D49" s="48"/>
      <c r="E49" s="39"/>
      <c r="F49" s="39"/>
      <c r="G49" s="39"/>
    </row>
    <row r="50" ht="19" customHeight="1" spans="1:7">
      <c r="A50" s="38" t="s">
        <v>53</v>
      </c>
      <c r="B50" s="39" t="s">
        <v>69</v>
      </c>
      <c r="C50" s="39" t="s">
        <v>70</v>
      </c>
      <c r="D50" s="39"/>
      <c r="E50" s="39"/>
      <c r="F50" s="39"/>
      <c r="G50" s="39"/>
    </row>
    <row r="51" ht="19" customHeight="1" spans="1:7">
      <c r="A51" s="40"/>
      <c r="B51" s="39"/>
      <c r="C51" s="39"/>
      <c r="D51" s="39"/>
      <c r="E51" s="39"/>
      <c r="F51" s="39"/>
      <c r="G51" s="39"/>
    </row>
    <row r="52" ht="19" customHeight="1" spans="1:7">
      <c r="A52" s="40"/>
      <c r="B52" s="39"/>
      <c r="C52" s="39"/>
      <c r="D52" s="39"/>
      <c r="E52" s="39"/>
      <c r="F52" s="39"/>
      <c r="G52" s="39"/>
    </row>
    <row r="53" ht="19" customHeight="1" spans="1:7">
      <c r="A53" s="41"/>
      <c r="B53" s="39"/>
      <c r="C53" s="39"/>
      <c r="D53" s="39"/>
      <c r="E53" s="39"/>
      <c r="F53" s="39"/>
      <c r="G53" s="39"/>
    </row>
    <row r="54" ht="19" customHeight="1" spans="1:7">
      <c r="A54" s="31" t="s">
        <v>54</v>
      </c>
      <c r="B54" s="39"/>
      <c r="C54" s="39"/>
      <c r="D54" s="39"/>
      <c r="E54" s="39"/>
      <c r="F54" s="39"/>
      <c r="G54" s="39"/>
    </row>
    <row r="55" ht="19" customHeight="1" spans="1:7">
      <c r="A55" s="31"/>
      <c r="B55" s="39"/>
      <c r="C55" s="39"/>
      <c r="D55" s="39"/>
      <c r="E55" s="39"/>
      <c r="F55" s="39"/>
      <c r="G55" s="39"/>
    </row>
    <row r="56" ht="19" customHeight="1" spans="1:7">
      <c r="A56" s="31"/>
      <c r="B56" s="39"/>
      <c r="C56" s="39"/>
      <c r="D56" s="39"/>
      <c r="E56" s="39"/>
      <c r="F56" s="39"/>
      <c r="G56" s="39"/>
    </row>
    <row r="57" ht="19" customHeight="1" spans="1:7">
      <c r="A57" s="31"/>
      <c r="B57" s="39"/>
      <c r="C57" s="39"/>
      <c r="D57" s="39"/>
      <c r="E57" s="39"/>
      <c r="F57" s="39"/>
      <c r="G57" s="39"/>
    </row>
    <row r="58" ht="19" customHeight="1" spans="1:7">
      <c r="A58" s="31" t="s">
        <v>55</v>
      </c>
      <c r="B58" s="42"/>
      <c r="C58" s="43"/>
      <c r="D58" s="43"/>
      <c r="E58" s="43"/>
      <c r="F58" s="43"/>
      <c r="G58" s="39"/>
    </row>
    <row r="59" ht="19" customHeight="1" spans="1:7">
      <c r="A59" s="31"/>
      <c r="B59" s="39"/>
      <c r="C59" s="39"/>
      <c r="D59" s="39"/>
      <c r="E59" s="39"/>
      <c r="F59" s="39"/>
      <c r="G59" s="39"/>
    </row>
    <row r="60" ht="19" customHeight="1" spans="1:7">
      <c r="A60" s="31"/>
      <c r="B60" s="39"/>
      <c r="C60" s="39"/>
      <c r="D60" s="39"/>
      <c r="E60" s="39"/>
      <c r="F60" s="39"/>
      <c r="G60" s="39"/>
    </row>
    <row r="61" ht="19" customHeight="1" spans="1:7">
      <c r="A61" s="31"/>
      <c r="B61" s="39"/>
      <c r="C61" s="39"/>
      <c r="D61" s="39"/>
      <c r="E61" s="39"/>
      <c r="F61" s="39"/>
      <c r="G61" s="39"/>
    </row>
    <row r="62" ht="19" customHeight="1" spans="1:7">
      <c r="A62" s="31" t="s">
        <v>56</v>
      </c>
      <c r="B62" s="42" t="s">
        <v>71</v>
      </c>
      <c r="C62" s="43" t="s">
        <v>72</v>
      </c>
      <c r="D62" s="43" t="s">
        <v>73</v>
      </c>
      <c r="E62" s="39" t="s">
        <v>70</v>
      </c>
      <c r="F62" s="39" t="s">
        <v>74</v>
      </c>
      <c r="G62" s="39" t="s">
        <v>59</v>
      </c>
    </row>
    <row r="63" ht="19" customHeight="1" spans="1:7">
      <c r="A63" s="31"/>
      <c r="B63" s="39" t="s">
        <v>61</v>
      </c>
      <c r="C63" s="39"/>
      <c r="D63" s="39"/>
      <c r="E63" s="39"/>
      <c r="F63" s="39"/>
      <c r="G63" s="39"/>
    </row>
    <row r="64" ht="19" customHeight="1" spans="1:7">
      <c r="A64" s="31"/>
      <c r="B64" s="39"/>
      <c r="C64" s="39"/>
      <c r="D64" s="39"/>
      <c r="E64" s="39"/>
      <c r="F64" s="39"/>
      <c r="G64" s="39"/>
    </row>
    <row r="65" ht="19" customHeight="1" spans="1:7">
      <c r="A65" s="31"/>
      <c r="B65" s="39"/>
      <c r="C65" s="39"/>
      <c r="D65" s="39"/>
      <c r="E65" s="39"/>
      <c r="F65" s="39"/>
      <c r="G65" s="39"/>
    </row>
    <row r="66" ht="19" customHeight="1" spans="1:7">
      <c r="A66" s="31" t="s">
        <v>57</v>
      </c>
      <c r="B66" s="42"/>
      <c r="C66" s="43"/>
      <c r="D66" s="43"/>
      <c r="E66" s="43"/>
      <c r="F66" s="39"/>
      <c r="G66" s="39"/>
    </row>
    <row r="67" ht="19" customHeight="1" spans="1:7">
      <c r="A67" s="31"/>
      <c r="B67" s="39"/>
      <c r="C67" s="39"/>
      <c r="D67" s="39"/>
      <c r="E67" s="39"/>
      <c r="F67" s="39"/>
      <c r="G67" s="39"/>
    </row>
    <row r="68" ht="19" customHeight="1" spans="1:7">
      <c r="A68" s="31"/>
      <c r="B68" s="39"/>
      <c r="C68" s="39"/>
      <c r="D68" s="39"/>
      <c r="E68" s="39"/>
      <c r="F68" s="39"/>
      <c r="G68" s="39"/>
    </row>
    <row r="69" ht="19" customHeight="1" spans="1:7">
      <c r="A69" s="31"/>
      <c r="B69" s="39"/>
      <c r="C69" s="39"/>
      <c r="D69" s="39"/>
      <c r="E69" s="39"/>
      <c r="F69" s="39"/>
      <c r="G69" s="39"/>
    </row>
    <row r="70" ht="19" customHeight="1" spans="1:7">
      <c r="A70" s="31"/>
      <c r="B70" s="39"/>
      <c r="C70" s="39"/>
      <c r="D70" s="39"/>
      <c r="E70" s="39"/>
      <c r="F70" s="39"/>
      <c r="G70" s="39"/>
    </row>
    <row r="71" ht="24" customHeight="1" spans="1:7">
      <c r="A71" s="45" t="s">
        <v>75</v>
      </c>
      <c r="B71" s="46"/>
      <c r="C71" s="46"/>
      <c r="D71" s="46"/>
      <c r="E71" s="46"/>
      <c r="F71" s="46"/>
      <c r="G71" s="47"/>
    </row>
    <row r="72" ht="18" customHeight="1" spans="1:7">
      <c r="A72" s="38" t="s">
        <v>52</v>
      </c>
      <c r="B72" s="48" t="s">
        <v>76</v>
      </c>
      <c r="C72" s="48" t="s">
        <v>77</v>
      </c>
      <c r="D72" s="48" t="s">
        <v>71</v>
      </c>
      <c r="E72" s="39" t="s">
        <v>72</v>
      </c>
      <c r="F72" s="39" t="s">
        <v>64</v>
      </c>
      <c r="G72" s="39" t="s">
        <v>65</v>
      </c>
    </row>
    <row r="73" ht="18" customHeight="1" spans="1:7">
      <c r="A73" s="40"/>
      <c r="B73" s="48" t="s">
        <v>73</v>
      </c>
      <c r="C73" s="48" t="s">
        <v>78</v>
      </c>
      <c r="D73" s="48" t="s">
        <v>79</v>
      </c>
      <c r="E73" s="39" t="s">
        <v>80</v>
      </c>
      <c r="F73" s="39" t="s">
        <v>69</v>
      </c>
      <c r="G73" s="39" t="s">
        <v>70</v>
      </c>
    </row>
    <row r="74" ht="18" customHeight="1" spans="1:7">
      <c r="A74" s="40"/>
      <c r="B74" s="48" t="s">
        <v>74</v>
      </c>
      <c r="C74" s="48" t="s">
        <v>81</v>
      </c>
      <c r="D74" s="48" t="s">
        <v>59</v>
      </c>
      <c r="E74" s="39" t="s">
        <v>60</v>
      </c>
      <c r="F74" s="39"/>
      <c r="G74" s="39"/>
    </row>
    <row r="75" ht="18" customHeight="1" spans="1:7">
      <c r="A75" s="41"/>
      <c r="B75" s="48"/>
      <c r="C75" s="48"/>
      <c r="D75" s="48"/>
      <c r="E75" s="39"/>
      <c r="F75" s="39"/>
      <c r="G75" s="39"/>
    </row>
    <row r="76" ht="18" customHeight="1" spans="1:7">
      <c r="A76" s="38" t="s">
        <v>53</v>
      </c>
      <c r="B76" s="39" t="s">
        <v>76</v>
      </c>
      <c r="C76" s="39" t="s">
        <v>77</v>
      </c>
      <c r="D76" s="39" t="s">
        <v>71</v>
      </c>
      <c r="E76" s="39" t="s">
        <v>72</v>
      </c>
      <c r="F76" s="39" t="s">
        <v>64</v>
      </c>
      <c r="G76" s="39" t="s">
        <v>65</v>
      </c>
    </row>
    <row r="77" ht="18" customHeight="1" spans="1:7">
      <c r="A77" s="40"/>
      <c r="B77" s="39" t="s">
        <v>73</v>
      </c>
      <c r="C77" s="39" t="s">
        <v>78</v>
      </c>
      <c r="D77" s="39" t="s">
        <v>79</v>
      </c>
      <c r="E77" s="39" t="s">
        <v>80</v>
      </c>
      <c r="F77" s="39" t="s">
        <v>74</v>
      </c>
      <c r="G77" s="39" t="s">
        <v>81</v>
      </c>
    </row>
    <row r="78" ht="18" customHeight="1" spans="1:7">
      <c r="A78" s="40"/>
      <c r="B78" s="39" t="s">
        <v>59</v>
      </c>
      <c r="C78" s="39" t="s">
        <v>60</v>
      </c>
      <c r="D78" s="39" t="s">
        <v>61</v>
      </c>
      <c r="E78" s="39" t="s">
        <v>62</v>
      </c>
      <c r="F78" s="39"/>
      <c r="G78" s="39"/>
    </row>
    <row r="79" ht="18" customHeight="1" spans="1:7">
      <c r="A79" s="41"/>
      <c r="B79" s="39"/>
      <c r="C79" s="39"/>
      <c r="D79" s="39"/>
      <c r="E79" s="39"/>
      <c r="F79" s="39"/>
      <c r="G79" s="39"/>
    </row>
    <row r="80" ht="18" customHeight="1" spans="1:7">
      <c r="A80" s="31" t="s">
        <v>54</v>
      </c>
      <c r="B80" s="39" t="s">
        <v>76</v>
      </c>
      <c r="C80" s="39" t="s">
        <v>77</v>
      </c>
      <c r="D80" s="39" t="s">
        <v>71</v>
      </c>
      <c r="E80" s="39" t="s">
        <v>72</v>
      </c>
      <c r="F80" s="39" t="s">
        <v>64</v>
      </c>
      <c r="G80" s="39" t="s">
        <v>65</v>
      </c>
    </row>
    <row r="81" ht="18" customHeight="1" spans="1:7">
      <c r="A81" s="31"/>
      <c r="B81" s="39" t="s">
        <v>73</v>
      </c>
      <c r="C81" s="39" t="s">
        <v>78</v>
      </c>
      <c r="D81" s="39" t="s">
        <v>79</v>
      </c>
      <c r="E81" s="39" t="s">
        <v>80</v>
      </c>
      <c r="F81" s="39" t="s">
        <v>69</v>
      </c>
      <c r="G81" s="39" t="s">
        <v>70</v>
      </c>
    </row>
    <row r="82" ht="18" customHeight="1" spans="1:7">
      <c r="A82" s="31"/>
      <c r="B82" s="39" t="s">
        <v>74</v>
      </c>
      <c r="C82" s="39" t="s">
        <v>81</v>
      </c>
      <c r="D82" s="39" t="s">
        <v>59</v>
      </c>
      <c r="E82" s="39" t="s">
        <v>60</v>
      </c>
      <c r="F82" s="39"/>
      <c r="G82" s="39"/>
    </row>
    <row r="83" ht="18" customHeight="1" spans="1:7">
      <c r="A83" s="31"/>
      <c r="B83" s="39"/>
      <c r="C83" s="39"/>
      <c r="D83" s="39"/>
      <c r="E83" s="39"/>
      <c r="F83" s="39"/>
      <c r="G83" s="39"/>
    </row>
    <row r="84" ht="18" customHeight="1" spans="1:7">
      <c r="A84" s="31" t="s">
        <v>55</v>
      </c>
      <c r="B84" s="39" t="s">
        <v>76</v>
      </c>
      <c r="C84" s="39" t="s">
        <v>77</v>
      </c>
      <c r="D84" s="39" t="s">
        <v>71</v>
      </c>
      <c r="E84" s="39" t="s">
        <v>72</v>
      </c>
      <c r="F84" s="39" t="s">
        <v>64</v>
      </c>
      <c r="G84" s="39" t="s">
        <v>65</v>
      </c>
    </row>
    <row r="85" ht="18" customHeight="1" spans="1:7">
      <c r="A85" s="31"/>
      <c r="B85" s="39" t="s">
        <v>73</v>
      </c>
      <c r="C85" s="39" t="s">
        <v>78</v>
      </c>
      <c r="D85" s="39" t="s">
        <v>79</v>
      </c>
      <c r="E85" s="39" t="s">
        <v>80</v>
      </c>
      <c r="F85" s="39" t="s">
        <v>69</v>
      </c>
      <c r="G85" s="39" t="s">
        <v>70</v>
      </c>
    </row>
    <row r="86" ht="18" customHeight="1" spans="1:7">
      <c r="A86" s="31"/>
      <c r="B86" s="39" t="s">
        <v>74</v>
      </c>
      <c r="C86" s="39" t="s">
        <v>81</v>
      </c>
      <c r="D86" s="39"/>
      <c r="E86" s="39"/>
      <c r="F86" s="39"/>
      <c r="G86" s="39"/>
    </row>
    <row r="87" ht="18" customHeight="1" spans="1:7">
      <c r="A87" s="31"/>
      <c r="B87" s="39"/>
      <c r="C87" s="39"/>
      <c r="D87" s="39"/>
      <c r="E87" s="39"/>
      <c r="F87" s="39"/>
      <c r="G87" s="39"/>
    </row>
    <row r="88" ht="18" customHeight="1" spans="1:7">
      <c r="A88" s="31" t="s">
        <v>56</v>
      </c>
      <c r="B88" s="39" t="s">
        <v>76</v>
      </c>
      <c r="C88" s="39" t="s">
        <v>77</v>
      </c>
      <c r="D88" s="39" t="s">
        <v>79</v>
      </c>
      <c r="E88" s="39" t="s">
        <v>80</v>
      </c>
      <c r="F88" s="39" t="s">
        <v>69</v>
      </c>
      <c r="G88" s="39" t="s">
        <v>81</v>
      </c>
    </row>
    <row r="89" ht="18" customHeight="1" spans="1:7">
      <c r="A89" s="31"/>
      <c r="B89" s="39" t="s">
        <v>60</v>
      </c>
      <c r="C89" s="39"/>
      <c r="D89" s="39"/>
      <c r="E89" s="39"/>
      <c r="F89" s="39"/>
      <c r="G89" s="39"/>
    </row>
    <row r="90" ht="18" customHeight="1" spans="1:7">
      <c r="A90" s="31"/>
      <c r="B90" s="39"/>
      <c r="C90" s="39"/>
      <c r="D90" s="39"/>
      <c r="E90" s="39"/>
      <c r="F90" s="39"/>
      <c r="G90" s="39"/>
    </row>
    <row r="91" ht="18" customHeight="1" spans="1:7">
      <c r="A91" s="31"/>
      <c r="B91" s="39"/>
      <c r="C91" s="39"/>
      <c r="D91" s="39"/>
      <c r="E91" s="39"/>
      <c r="F91" s="39"/>
      <c r="G91" s="39"/>
    </row>
    <row r="92" ht="18" customHeight="1" spans="1:7">
      <c r="A92" s="31" t="s">
        <v>57</v>
      </c>
      <c r="B92" s="39" t="s">
        <v>76</v>
      </c>
      <c r="C92" s="39" t="s">
        <v>77</v>
      </c>
      <c r="D92" s="39" t="s">
        <v>71</v>
      </c>
      <c r="E92" s="39" t="s">
        <v>72</v>
      </c>
      <c r="F92" s="39" t="s">
        <v>64</v>
      </c>
      <c r="G92" s="39" t="s">
        <v>65</v>
      </c>
    </row>
    <row r="93" ht="18" customHeight="1" spans="1:7">
      <c r="A93" s="31"/>
      <c r="B93" s="39" t="s">
        <v>73</v>
      </c>
      <c r="C93" s="39" t="s">
        <v>78</v>
      </c>
      <c r="D93" s="39" t="s">
        <v>79</v>
      </c>
      <c r="E93" s="39" t="s">
        <v>80</v>
      </c>
      <c r="F93" s="39" t="s">
        <v>69</v>
      </c>
      <c r="G93" s="39" t="s">
        <v>70</v>
      </c>
    </row>
    <row r="94" ht="18" customHeight="1" spans="1:7">
      <c r="A94" s="31"/>
      <c r="B94" s="39" t="s">
        <v>74</v>
      </c>
      <c r="C94" s="39" t="s">
        <v>81</v>
      </c>
      <c r="D94" s="39" t="s">
        <v>59</v>
      </c>
      <c r="E94" s="39" t="s">
        <v>60</v>
      </c>
      <c r="F94" s="39" t="s">
        <v>61</v>
      </c>
      <c r="G94" s="39" t="s">
        <v>62</v>
      </c>
    </row>
    <row r="95" ht="18" customHeight="1" spans="1:7">
      <c r="A95" s="31"/>
      <c r="B95" s="39" t="s">
        <v>63</v>
      </c>
      <c r="C95" s="39" t="s">
        <v>82</v>
      </c>
      <c r="D95" s="39" t="s">
        <v>83</v>
      </c>
      <c r="E95" s="39" t="s">
        <v>84</v>
      </c>
      <c r="F95" s="39" t="s">
        <v>85</v>
      </c>
      <c r="G95" s="39" t="s">
        <v>86</v>
      </c>
    </row>
    <row r="96" ht="18" customHeight="1" spans="1:7">
      <c r="A96" s="31"/>
      <c r="B96" s="39" t="s">
        <v>87</v>
      </c>
      <c r="C96" s="39" t="s">
        <v>88</v>
      </c>
      <c r="D96" s="39" t="s">
        <v>89</v>
      </c>
      <c r="E96" s="39" t="s">
        <v>90</v>
      </c>
      <c r="F96" s="39"/>
      <c r="G96" s="39"/>
    </row>
    <row r="97" ht="18" customHeight="1" spans="1:7">
      <c r="A97" s="31"/>
      <c r="B97" s="39"/>
      <c r="C97" s="39"/>
      <c r="D97" s="39"/>
      <c r="E97" s="39"/>
      <c r="F97" s="39"/>
      <c r="G97" s="39"/>
    </row>
  </sheetData>
  <mergeCells count="31">
    <mergeCell ref="A1:G1"/>
    <mergeCell ref="A2:G2"/>
    <mergeCell ref="B3:G3"/>
    <mergeCell ref="B4:C4"/>
    <mergeCell ref="E4:G4"/>
    <mergeCell ref="B5:G5"/>
    <mergeCell ref="C6:G6"/>
    <mergeCell ref="A11:G11"/>
    <mergeCell ref="A19:G19"/>
    <mergeCell ref="A45:G45"/>
    <mergeCell ref="A71:G71"/>
    <mergeCell ref="A7:A10"/>
    <mergeCell ref="A21:A24"/>
    <mergeCell ref="A25:A28"/>
    <mergeCell ref="A29:A32"/>
    <mergeCell ref="A33:A36"/>
    <mergeCell ref="A37:A40"/>
    <mergeCell ref="A41:A44"/>
    <mergeCell ref="A46:A49"/>
    <mergeCell ref="A50:A53"/>
    <mergeCell ref="A54:A57"/>
    <mergeCell ref="A58:A61"/>
    <mergeCell ref="A62:A65"/>
    <mergeCell ref="A66:A70"/>
    <mergeCell ref="A72:A75"/>
    <mergeCell ref="A76:A79"/>
    <mergeCell ref="A80:A83"/>
    <mergeCell ref="A84:A87"/>
    <mergeCell ref="A88:A91"/>
    <mergeCell ref="A92:A97"/>
    <mergeCell ref="D7:E10"/>
  </mergeCells>
  <pageMargins left="0.7" right="0.7" top="0.75" bottom="0.75" header="0.3" footer="0.3"/>
  <pageSetup paperSize="1" orientation="portrait"/>
  <headerFooter/>
  <ignoredErrors>
    <ignoredError sqref="A11:G32 A33 G33 A34:G36 A37 D37:G37 A38:G40 A41 D41:G41 A42:G49 A50 D50:G50 A51:G61 A62:A63 C63:G63 A64:G71 A72:A74 F74:G74 A75:G75 A76:A78 F78:G78 A79:G79 A80:A82 A83:G83 A84:A86 A87:G87 A88:A89 C89:G89 A90:G91 A92:A96 F96:G96 A97:G97 A9:E10 A9:E10 D8:G8 D8:G8 A8:B8 A8:B8 A1:G7" evalError="1" emptyCellReference="1"/>
    <ignoredError sqref="A8:G10" emptyCellReferenc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B1"/>
  <sheetViews>
    <sheetView showGridLines="0" workbookViewId="0">
      <selection activeCell="F24" sqref="F24"/>
    </sheetView>
  </sheetViews>
  <sheetFormatPr defaultColWidth="9" defaultRowHeight="15" outlineLevelCol="1"/>
  <sheetData>
    <row r="1" spans="1:2">
      <c r="A1" s="1" t="s">
        <v>35</v>
      </c>
      <c r="B1" s="62" t="str">
        <f>score_sheet!B9</f>
        <v>260120260828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score_sheet</vt:lpstr>
      <vt:lpstr>Batch Analysis - Tabular</vt:lpstr>
      <vt:lpstr>Batch Analysis - Graph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BFSI</cp:lastModifiedBy>
  <dcterms:created xsi:type="dcterms:W3CDTF">2015-05-01T13:34:00Z</dcterms:created>
  <dcterms:modified xsi:type="dcterms:W3CDTF">2026-08-08T11:20:04Z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C74AC841EDE6457C9473A2A0320C0639_13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