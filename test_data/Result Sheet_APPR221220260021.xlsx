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\Desktop\"/>
    </mc:Choice>
  </mc:AlternateContent>
  <xr:revisionPtr revIDLastSave="0" documentId="13_ncr:1_{0BFC13B6-825F-4CB2-B2CD-416BB7306E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ore_sheet" sheetId="1" r:id="rId1"/>
    <sheet name="Batch Analysis - Tabular" sheetId="5" r:id="rId2"/>
    <sheet name="Batch Analysis - Graph" sheetId="6" r:id="rId3"/>
  </sheets>
  <definedNames>
    <definedName name="_xlnm._FilterDatabase" localSheetId="0" hidden="1">score_sheet!$A$13:$L$15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5" l="1"/>
  <c r="F10" i="5"/>
  <c r="G9" i="5"/>
  <c r="F9" i="5"/>
  <c r="G8" i="5"/>
  <c r="G14" i="5" l="1"/>
  <c r="F14" i="5"/>
  <c r="E14" i="5"/>
  <c r="D14" i="5"/>
  <c r="G13" i="5"/>
  <c r="F13" i="5"/>
  <c r="E13" i="5"/>
  <c r="D13" i="5"/>
  <c r="C14" i="5"/>
  <c r="C13" i="5"/>
  <c r="I15" i="1" l="1"/>
  <c r="G15" i="1"/>
  <c r="G14" i="1"/>
  <c r="I14" i="1"/>
  <c r="B6" i="5" l="1"/>
  <c r="B5" i="5"/>
  <c r="B4" i="5"/>
  <c r="B3" i="5"/>
  <c r="F8" i="5"/>
  <c r="J15" i="1" l="1"/>
  <c r="L15" i="1" s="1"/>
  <c r="K15" i="1" s="1"/>
  <c r="J14" i="1"/>
  <c r="L14" i="1" s="1"/>
  <c r="K14" i="1" s="1"/>
  <c r="C8" i="5" l="1"/>
  <c r="B1" i="6"/>
  <c r="C10" i="5" l="1"/>
  <c r="C9" i="5"/>
  <c r="B14" i="5" l="1"/>
  <c r="B13" i="5"/>
</calcChain>
</file>

<file path=xl/sharedStrings.xml><?xml version="1.0" encoding="utf-8"?>
<sst xmlns="http://schemas.openxmlformats.org/spreadsheetml/2006/main" count="96" uniqueCount="74">
  <si>
    <t>Assessment Agency Name</t>
  </si>
  <si>
    <t>Training Provider Name</t>
  </si>
  <si>
    <t>Qualification Pack Name/Job Role</t>
  </si>
  <si>
    <t>State</t>
  </si>
  <si>
    <t>City</t>
  </si>
  <si>
    <t>Batch ID</t>
  </si>
  <si>
    <t>Trainee Name</t>
  </si>
  <si>
    <t>Assessment Date</t>
  </si>
  <si>
    <t>Candidate ID</t>
  </si>
  <si>
    <t xml:space="preserve">Descriptive Analysis for the Batch </t>
  </si>
  <si>
    <t>BATCH SUMMARY</t>
  </si>
  <si>
    <t>Batch Id</t>
  </si>
  <si>
    <t>Scheme of Assessment</t>
  </si>
  <si>
    <t xml:space="preserve">Pass Criteria </t>
  </si>
  <si>
    <t>QP / Job role</t>
  </si>
  <si>
    <t>QP Result</t>
  </si>
  <si>
    <t>Total</t>
  </si>
  <si>
    <t>Enrolled</t>
  </si>
  <si>
    <t>Appeared</t>
  </si>
  <si>
    <t>Passed</t>
  </si>
  <si>
    <t>NOS SUMMARY</t>
  </si>
  <si>
    <t>% Students Passed 
(On Appeared)</t>
  </si>
  <si>
    <t>WEAK PCs (AVERAGE SCORE LESS THAN 50%)</t>
  </si>
  <si>
    <t>STRONG PCs (AVERAGE SCORE MORE THAN 70%)</t>
  </si>
  <si>
    <t>Overall %</t>
  </si>
  <si>
    <t>Gender Wise Analysis</t>
  </si>
  <si>
    <t>Male</t>
  </si>
  <si>
    <t>Female</t>
  </si>
  <si>
    <t>Gender</t>
  </si>
  <si>
    <t>Pass/Fail</t>
  </si>
  <si>
    <t>Result of QP (Pass/Fail)</t>
  </si>
  <si>
    <t xml:space="preserve">Mean </t>
  </si>
  <si>
    <t xml:space="preserve">Maximum Obtained </t>
  </si>
  <si>
    <t xml:space="preserve">SD </t>
  </si>
  <si>
    <t>Qualification Code</t>
  </si>
  <si>
    <t>Scheme Name</t>
  </si>
  <si>
    <t>Center ID</t>
  </si>
  <si>
    <t>Moderately weak PCs (AVERAGE SCORE BETWEEN 50-70%)</t>
  </si>
  <si>
    <t xml:space="preserve">Minimum Obtained </t>
  </si>
  <si>
    <t xml:space="preserve">Median  </t>
  </si>
  <si>
    <t>Ginger Webs Pvt. Ltd.</t>
  </si>
  <si>
    <t>DGT/VSQ/N0102 - Score</t>
  </si>
  <si>
    <t>DGT/VSQ/N0102</t>
  </si>
  <si>
    <t>SSC/N3022 - Score</t>
  </si>
  <si>
    <t>Domestic Data Entry Operator</t>
  </si>
  <si>
    <t>SSC/Q2212</t>
  </si>
  <si>
    <t>SSC/N3022</t>
  </si>
  <si>
    <t>NA</t>
  </si>
  <si>
    <t>Assessor Name/AR ID</t>
  </si>
  <si>
    <t>APPR221220260021</t>
  </si>
  <si>
    <t>Apprenticeship</t>
  </si>
  <si>
    <t>Amass Skill Ventures Private Limited</t>
  </si>
  <si>
    <t>Delhi</t>
  </si>
  <si>
    <t>AR37662 &amp; Bablu Kumar Singh</t>
  </si>
  <si>
    <t>Yash</t>
  </si>
  <si>
    <t>CN072555873</t>
  </si>
  <si>
    <t>Nitin Bhati</t>
  </si>
  <si>
    <t>CN072505565</t>
  </si>
  <si>
    <t>M</t>
  </si>
  <si>
    <t>PC12</t>
  </si>
  <si>
    <t>PC14</t>
  </si>
  <si>
    <t>PC15</t>
  </si>
  <si>
    <t>PC4</t>
  </si>
  <si>
    <t>PC6</t>
  </si>
  <si>
    <t>PC8</t>
  </si>
  <si>
    <t>PC9</t>
  </si>
  <si>
    <t>PC7</t>
  </si>
  <si>
    <t>PC3</t>
  </si>
  <si>
    <t>PC1</t>
  </si>
  <si>
    <t>PC2</t>
  </si>
  <si>
    <t>PC5</t>
  </si>
  <si>
    <t>PC10</t>
  </si>
  <si>
    <t>PC11</t>
  </si>
  <si>
    <t>PC16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</si>
</sst>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 wrapText="1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left"/>
    </xf>
    <xf numFmtId="0" fontId="19" fillId="0" borderId="10" xfId="0" applyFont="1" applyBorder="1"/>
    <xf numFmtId="0" fontId="20" fillId="33" borderId="10" xfId="0" applyFont="1" applyFill="1" applyBorder="1"/>
    <xf numFmtId="0" fontId="19" fillId="0" borderId="10" xfId="0" applyFont="1" applyBorder="1" applyAlignment="1">
      <alignment vertical="center"/>
    </xf>
    <xf numFmtId="1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1" fontId="20" fillId="0" borderId="10" xfId="0" applyNumberFormat="1" applyFont="1" applyBorder="1" applyAlignment="1">
      <alignment horizontal="center" wrapText="1"/>
    </xf>
    <xf numFmtId="0" fontId="20" fillId="33" borderId="10" xfId="0" applyFont="1" applyFill="1" applyBorder="1" applyAlignment="1">
      <alignment horizontal="center" vertical="center"/>
    </xf>
    <xf numFmtId="0" fontId="16" fillId="0" borderId="0" xfId="0" applyFont="1"/>
    <xf numFmtId="0" fontId="20" fillId="0" borderId="10" xfId="0" applyFont="1" applyBorder="1" applyAlignment="1">
      <alignment horizontal="center" vertical="center" wrapText="1"/>
    </xf>
    <xf numFmtId="2" fontId="20" fillId="0" borderId="10" xfId="0" applyNumberFormat="1" applyFont="1" applyBorder="1" applyAlignment="1">
      <alignment horizontal="center" wrapText="1"/>
    </xf>
    <xf numFmtId="2" fontId="20" fillId="0" borderId="10" xfId="0" applyNumberFormat="1" applyFont="1" applyBorder="1" applyAlignment="1">
      <alignment horizontal="center"/>
    </xf>
    <xf numFmtId="2" fontId="20" fillId="0" borderId="10" xfId="42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33" borderId="10" xfId="0" applyFont="1" applyFill="1" applyBorder="1" applyAlignment="1">
      <alignment horizontal="left"/>
    </xf>
    <xf numFmtId="9" fontId="20" fillId="33" borderId="10" xfId="0" applyNumberFormat="1" applyFont="1" applyFill="1" applyBorder="1" applyAlignment="1">
      <alignment horizontal="left"/>
    </xf>
    <xf numFmtId="164" fontId="20" fillId="0" borderId="10" xfId="0" applyNumberFormat="1" applyFont="1" applyBorder="1" applyAlignment="1">
      <alignment horizontal="left"/>
    </xf>
    <xf numFmtId="0" fontId="20" fillId="0" borderId="10" xfId="0" applyFont="1" applyBorder="1" applyAlignment="1">
      <alignment wrapText="1"/>
    </xf>
    <xf numFmtId="0" fontId="19" fillId="0" borderId="10" xfId="0" applyFont="1" applyBorder="1" applyAlignment="1">
      <alignment horizontal="left" vertical="center"/>
    </xf>
    <xf numFmtId="0" fontId="0" fillId="0" borderId="10" xfId="0" applyBorder="1"/>
    <xf numFmtId="0" fontId="18" fillId="33" borderId="10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/>
    <xf numFmtId="0" fontId="21" fillId="0" borderId="10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Result Snapshot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Tabular'!$C$8</c:f>
              <c:numCache>
                <c:formatCode>0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B-4AB6-B47C-7A0D3EEADE4A}"/>
            </c:ext>
          </c:extLst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Tabular'!$C$9</c:f>
              <c:numCache>
                <c:formatCode>0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B-4AB6-B47C-7A0D3EEADE4A}"/>
            </c:ext>
          </c:extLst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Tabular'!$C$10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B-4AB6-B47C-7A0D3EEADE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355328"/>
        <c:axId val="208356864"/>
      </c:barChart>
      <c:catAx>
        <c:axId val="2083553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356864"/>
        <c:crosses val="autoZero"/>
        <c:auto val="1"/>
        <c:lblAlgn val="ctr"/>
        <c:lblOffset val="100"/>
        <c:noMultiLvlLbl val="0"/>
      </c:catAx>
      <c:valAx>
        <c:axId val="20835686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5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NOS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866121885993002E-2"/>
          <c:y val="0.12843267108167772"/>
          <c:w val="0.90540861031312492"/>
          <c:h val="0.55225773930576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Tabular'!$B$13:$B$14</c:f>
              <c:numCache>
                <c:formatCode>0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B-4317-8D9C-D337FEBBBF3E}"/>
            </c:ext>
          </c:extLst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Tabular'!$C$13:$C$14</c:f>
              <c:numCache>
                <c:formatCode>0.00</c:formatCode>
                <c:ptCount val="2"/>
                <c:pt idx="0">
                  <c:v>132.875</c:v>
                </c:pt>
                <c:pt idx="1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B-4317-8D9C-D337FEBBBF3E}"/>
            </c:ext>
          </c:extLst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Tabular'!$D$13:$D$14</c:f>
              <c:numCache>
                <c:formatCode>0.00</c:formatCode>
                <c:ptCount val="2"/>
                <c:pt idx="0">
                  <c:v>80.75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B-4317-8D9C-D337FEBBBF3E}"/>
            </c:ext>
          </c:extLst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8.8300220750551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AB-4317-8D9C-D337FEBBBF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Tabular'!$E$13:$E$14</c:f>
              <c:numCache>
                <c:formatCode>0.00</c:formatCode>
                <c:ptCount val="2"/>
                <c:pt idx="0">
                  <c:v>185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AB-4317-8D9C-D337FEBBBF3E}"/>
            </c:ext>
          </c:extLst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Tabular'!$F$13:$F$14</c:f>
              <c:numCache>
                <c:formatCode>0.00</c:formatCode>
                <c:ptCount val="2"/>
                <c:pt idx="0">
                  <c:v>132.875</c:v>
                </c:pt>
                <c:pt idx="1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AB-4317-8D9C-D337FEBBBF3E}"/>
            </c:ext>
          </c:extLst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Tabular'!$G$13:$G$14</c:f>
              <c:numCache>
                <c:formatCode>0.00</c:formatCode>
                <c:ptCount val="2"/>
                <c:pt idx="0">
                  <c:v>52.125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AB-4317-8D9C-D337FEBBB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833152"/>
        <c:axId val="208851328"/>
      </c:barChart>
      <c:catAx>
        <c:axId val="20883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1328"/>
        <c:crosses val="autoZero"/>
        <c:auto val="1"/>
        <c:lblAlgn val="ctr"/>
        <c:lblOffset val="100"/>
        <c:noMultiLvlLbl val="0"/>
      </c:catAx>
      <c:valAx>
        <c:axId val="2088513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3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8-4FAB-92D3-EA1FE57EDF54}"/>
            </c:ext>
          </c:extLst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8-4FAB-92D3-EA1FE57ED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546432"/>
        <c:axId val="208552320"/>
      </c:barChart>
      <c:catAx>
        <c:axId val="20854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52320"/>
        <c:crosses val="autoZero"/>
        <c:auto val="1"/>
        <c:lblAlgn val="ctr"/>
        <c:lblOffset val="100"/>
        <c:noMultiLvlLbl val="0"/>
      </c:catAx>
      <c:valAx>
        <c:axId val="20855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4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192405</xdr:colOff>
      <xdr:row>2</xdr:row>
      <xdr:rowOff>85725</xdr:rowOff>
    </xdr:from>
    <xdr:to>
      <xdr:col>7</xdr:col>
      <xdr:colOff>325755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483870</xdr:colOff>
      <xdr:row>2</xdr:row>
      <xdr:rowOff>85725</xdr:rowOff>
    </xdr:from>
    <xdr:to>
      <xdr:col>16</xdr:col>
      <xdr:colOff>36195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198120</xdr:colOff>
      <xdr:row>2</xdr:row>
      <xdr:rowOff>76200</xdr:rowOff>
    </xdr:from>
    <xdr:to>
      <xdr:col>23</xdr:col>
      <xdr:colOff>502920</xdr:colOff>
      <xdr:row>17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51D5ED-3E91-4A0D-970F-0D228C68F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tabSelected="1" zoomScale="73" zoomScaleNormal="85" workbookViewId="0">
      <selection activeCell="E7" sqref="E7"/>
    </sheetView>
  </sheetViews>
  <sheetFormatPr defaultColWidth="9.1796875" defaultRowHeight="14.5" x14ac:dyDescent="0.35"/>
  <cols>
    <col min="1" max="1" width="33.1796875" bestFit="1" customWidth="1"/>
    <col min="2" max="2" width="33.54296875" customWidth="1"/>
    <col min="3" max="3" width="20.7265625" bestFit="1" customWidth="1"/>
    <col min="4" max="4" width="10.81640625" bestFit="1" customWidth="1"/>
    <col min="5" max="5" width="16.26953125" bestFit="1" customWidth="1"/>
    <col min="6" max="6" width="13.81640625" customWidth="1"/>
    <col min="7" max="7" width="13.1796875" customWidth="1"/>
    <col min="8" max="8" width="12.81640625" customWidth="1"/>
    <col min="9" max="9" width="13.1796875" bestFit="1" customWidth="1"/>
    <col min="10" max="11" width="13.1796875" customWidth="1"/>
  </cols>
  <sheetData>
    <row r="1" spans="1:12" x14ac:dyDescent="0.35">
      <c r="A1" s="23" t="s">
        <v>0</v>
      </c>
      <c r="B1" s="23" t="s">
        <v>40</v>
      </c>
    </row>
    <row r="2" spans="1:12" x14ac:dyDescent="0.35">
      <c r="A2" s="23" t="s">
        <v>1</v>
      </c>
      <c r="B2" s="27" t="s">
        <v>51</v>
      </c>
    </row>
    <row r="3" spans="1:12" x14ac:dyDescent="0.35">
      <c r="A3" s="23" t="s">
        <v>2</v>
      </c>
      <c r="B3" s="23" t="s">
        <v>44</v>
      </c>
    </row>
    <row r="4" spans="1:12" x14ac:dyDescent="0.35">
      <c r="A4" s="23" t="s">
        <v>34</v>
      </c>
      <c r="B4" s="23" t="s">
        <v>45</v>
      </c>
    </row>
    <row r="5" spans="1:12" x14ac:dyDescent="0.35">
      <c r="A5" s="26" t="s">
        <v>48</v>
      </c>
      <c r="B5" s="23" t="s">
        <v>53</v>
      </c>
    </row>
    <row r="6" spans="1:12" x14ac:dyDescent="0.35">
      <c r="A6" s="23" t="s">
        <v>35</v>
      </c>
      <c r="B6" s="23" t="s">
        <v>50</v>
      </c>
    </row>
    <row r="7" spans="1:12" x14ac:dyDescent="0.35">
      <c r="A7" s="23" t="s">
        <v>3</v>
      </c>
      <c r="B7" s="23" t="s">
        <v>52</v>
      </c>
    </row>
    <row r="8" spans="1:12" x14ac:dyDescent="0.35">
      <c r="A8" s="23" t="s">
        <v>4</v>
      </c>
      <c r="B8" s="23" t="s">
        <v>52</v>
      </c>
    </row>
    <row r="9" spans="1:12" x14ac:dyDescent="0.35">
      <c r="A9" s="23" t="s">
        <v>36</v>
      </c>
      <c r="B9" s="23" t="s">
        <v>47</v>
      </c>
    </row>
    <row r="10" spans="1:12" s="1" customFormat="1" x14ac:dyDescent="0.35">
      <c r="A10" s="23" t="s">
        <v>5</v>
      </c>
      <c r="B10" s="25" t="s">
        <v>49</v>
      </c>
    </row>
    <row r="11" spans="1:12" s="1" customFormat="1" x14ac:dyDescent="0.35">
      <c r="A11" s="20"/>
      <c r="B11" s="20"/>
    </row>
    <row r="13" spans="1:12" ht="29" x14ac:dyDescent="0.35">
      <c r="A13" s="2" t="s">
        <v>5</v>
      </c>
      <c r="B13" s="2" t="s">
        <v>6</v>
      </c>
      <c r="C13" s="2" t="s">
        <v>8</v>
      </c>
      <c r="D13" s="2" t="s">
        <v>28</v>
      </c>
      <c r="E13" s="2" t="s">
        <v>7</v>
      </c>
      <c r="F13" s="3" t="s">
        <v>43</v>
      </c>
      <c r="G13" s="3" t="s">
        <v>29</v>
      </c>
      <c r="H13" s="3" t="s">
        <v>41</v>
      </c>
      <c r="I13" s="3" t="s">
        <v>29</v>
      </c>
      <c r="J13" s="3" t="s">
        <v>16</v>
      </c>
      <c r="K13" s="3" t="s">
        <v>30</v>
      </c>
      <c r="L13" s="3" t="s">
        <v>24</v>
      </c>
    </row>
    <row r="14" spans="1:12" x14ac:dyDescent="0.35">
      <c r="A14" s="25" t="s">
        <v>49</v>
      </c>
      <c r="B14" s="39" t="s">
        <v>54</v>
      </c>
      <c r="C14" s="39" t="s">
        <v>55</v>
      </c>
      <c r="D14" s="21" t="s">
        <v>58</v>
      </c>
      <c r="E14" s="22">
        <v>46186</v>
      </c>
      <c r="F14" s="39">
        <v>80.75</v>
      </c>
      <c r="G14" s="23" t="str">
        <f>IF(F14&gt;=150,"PASS",IF(F14&gt;0,"FAIL", "ABSENT"))</f>
        <v>FAIL</v>
      </c>
      <c r="H14" s="39">
        <v>25</v>
      </c>
      <c r="I14" s="23" t="str">
        <f>IF(H14&gt;=25,"PASS",IF(H14&gt;0,"FAIL", "ABSENT"))</f>
        <v>PASS</v>
      </c>
      <c r="J14" s="23">
        <f>F14+H14</f>
        <v>105.75</v>
      </c>
      <c r="K14" s="23" t="str">
        <f>IF(L14&gt;=50,"PASS",IF(L14&gt;0,"FAIL","ABSENT"))</f>
        <v>FAIL</v>
      </c>
      <c r="L14" s="24">
        <f>J14/350*100</f>
        <v>30.214285714285715</v>
      </c>
    </row>
    <row r="15" spans="1:12" x14ac:dyDescent="0.35">
      <c r="A15" s="25" t="s">
        <v>49</v>
      </c>
      <c r="B15" s="39" t="s">
        <v>56</v>
      </c>
      <c r="C15" s="39" t="s">
        <v>57</v>
      </c>
      <c r="D15" s="21" t="s">
        <v>58</v>
      </c>
      <c r="E15" s="22">
        <v>46186</v>
      </c>
      <c r="F15" s="39">
        <v>185</v>
      </c>
      <c r="G15" s="23" t="str">
        <f t="shared" ref="G15" si="0">IF(F15&gt;=150,"PASS",IF(F15&gt;0,"FAIL", "ABSENT"))</f>
        <v>PASS</v>
      </c>
      <c r="H15" s="39">
        <v>26</v>
      </c>
      <c r="I15" s="23" t="str">
        <f t="shared" ref="I15" si="1">IF(H15&gt;=25,"PASS",IF(H15&gt;0,"FAIL", "ABSENT"))</f>
        <v>PASS</v>
      </c>
      <c r="J15" s="23">
        <f t="shared" ref="J15" si="2">F15+H15</f>
        <v>211</v>
      </c>
      <c r="K15" s="23" t="str">
        <f t="shared" ref="K15" si="3">IF(L15&gt;=50,"PASS",IF(L15&gt;0,"FAIL","ABSENT"))</f>
        <v>PASS</v>
      </c>
      <c r="L15" s="24">
        <f t="shared" ref="L15" si="4">J15/350*100</f>
        <v>60.285714285714285</v>
      </c>
    </row>
  </sheetData>
  <conditionalFormatting sqref="H14:H15 J14:J15 E14:F15">
    <cfRule type="cellIs" dxfId="0" priority="4" operator="equal">
      <formula>"Fail"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showGridLines="0" zoomScaleNormal="100" workbookViewId="0">
      <selection activeCell="B13" sqref="B13"/>
    </sheetView>
  </sheetViews>
  <sheetFormatPr defaultRowHeight="14.5" x14ac:dyDescent="0.35"/>
  <cols>
    <col min="1" max="1" width="15.7265625" bestFit="1" customWidth="1"/>
    <col min="2" max="2" width="13" customWidth="1"/>
    <col min="4" max="5" width="10.81640625" customWidth="1"/>
    <col min="6" max="6" width="10.26953125" customWidth="1"/>
    <col min="7" max="7" width="10.453125" customWidth="1"/>
  </cols>
  <sheetData>
    <row r="1" spans="1:7" x14ac:dyDescent="0.35">
      <c r="A1" s="29" t="s">
        <v>9</v>
      </c>
      <c r="B1" s="29"/>
      <c r="C1" s="29"/>
      <c r="D1" s="29"/>
      <c r="E1" s="29"/>
      <c r="F1" s="29"/>
      <c r="G1" s="29"/>
    </row>
    <row r="2" spans="1:7" x14ac:dyDescent="0.35">
      <c r="A2" s="30" t="s">
        <v>10</v>
      </c>
      <c r="B2" s="30"/>
      <c r="C2" s="30"/>
      <c r="D2" s="30"/>
      <c r="E2" s="30"/>
      <c r="F2" s="30"/>
      <c r="G2" s="30"/>
    </row>
    <row r="3" spans="1:7" x14ac:dyDescent="0.35">
      <c r="A3" s="4" t="s">
        <v>11</v>
      </c>
      <c r="B3" s="31" t="str">
        <f>score_sheet!B10</f>
        <v>APPR221220260021</v>
      </c>
      <c r="C3" s="31"/>
      <c r="D3" s="31"/>
      <c r="E3" s="31"/>
      <c r="F3" s="31"/>
      <c r="G3" s="31"/>
    </row>
    <row r="4" spans="1:7" ht="26" x14ac:dyDescent="0.35">
      <c r="A4" s="28" t="s">
        <v>12</v>
      </c>
      <c r="B4" s="32" t="str">
        <f>score_sheet!B6</f>
        <v>Apprenticeship</v>
      </c>
      <c r="C4" s="32"/>
      <c r="D4" s="5" t="s">
        <v>13</v>
      </c>
      <c r="E4" s="33">
        <v>0.5</v>
      </c>
      <c r="F4" s="32"/>
      <c r="G4" s="32"/>
    </row>
    <row r="5" spans="1:7" x14ac:dyDescent="0.35">
      <c r="A5" s="6" t="s">
        <v>7</v>
      </c>
      <c r="B5" s="34">
        <f>score_sheet!E14</f>
        <v>46186</v>
      </c>
      <c r="C5" s="34"/>
      <c r="D5" s="34"/>
      <c r="E5" s="34"/>
      <c r="F5" s="34"/>
      <c r="G5" s="34"/>
    </row>
    <row r="6" spans="1:7" x14ac:dyDescent="0.35">
      <c r="A6" s="7" t="s">
        <v>14</v>
      </c>
      <c r="B6" s="8" t="str">
        <f>score_sheet!B3</f>
        <v>Domestic Data Entry Operator</v>
      </c>
      <c r="C6" s="35"/>
      <c r="D6" s="35"/>
      <c r="E6" s="35"/>
      <c r="F6" s="35"/>
      <c r="G6" s="35"/>
    </row>
    <row r="7" spans="1:7" ht="14.5" customHeight="1" x14ac:dyDescent="0.35">
      <c r="A7" s="36" t="s">
        <v>15</v>
      </c>
      <c r="B7" s="37"/>
      <c r="C7" s="7" t="s">
        <v>16</v>
      </c>
      <c r="D7" s="29" t="s">
        <v>25</v>
      </c>
      <c r="E7" s="29"/>
      <c r="F7" s="12" t="s">
        <v>26</v>
      </c>
      <c r="G7" s="12" t="s">
        <v>27</v>
      </c>
    </row>
    <row r="8" spans="1:7" x14ac:dyDescent="0.35">
      <c r="A8" s="36"/>
      <c r="B8" s="9" t="s">
        <v>17</v>
      </c>
      <c r="C8" s="10">
        <f>COUNT(score_sheet!L14:L15)</f>
        <v>2</v>
      </c>
      <c r="D8" s="29"/>
      <c r="E8" s="29"/>
      <c r="F8" s="16">
        <f>COUNTIF(score_sheet!D14:D15,"M")</f>
        <v>2</v>
      </c>
      <c r="G8" s="16">
        <f>COUNTIF(score_sheet!D14:D15,"F")</f>
        <v>0</v>
      </c>
    </row>
    <row r="9" spans="1:7" x14ac:dyDescent="0.35">
      <c r="A9" s="36"/>
      <c r="B9" s="9" t="s">
        <v>18</v>
      </c>
      <c r="C9" s="10">
        <f>COUNTIF(score_sheet!K14:K15,"PASS")+COUNTIF(score_sheet!K14:K15,"FAIL")</f>
        <v>2</v>
      </c>
      <c r="D9" s="29"/>
      <c r="E9" s="29"/>
      <c r="F9" s="16">
        <f>COUNTIFS(score_sheet!$D$14:$D$15,"M",score_sheet!$K$14:$K$15,"PASS")+COUNTIFS(score_sheet!$D$14:$D$15,"M",score_sheet!$K$14:$K$15,"FAIL")</f>
        <v>2</v>
      </c>
      <c r="G9" s="16">
        <f>COUNTIFS(score_sheet!$D$14:$D$15,"F",score_sheet!$K$14:$K$15,"PASS")+COUNTIFS(score_sheet!$D$14:$D$15,"F",score_sheet!$K$14:$K$15,"FAIL")</f>
        <v>0</v>
      </c>
    </row>
    <row r="10" spans="1:7" x14ac:dyDescent="0.35">
      <c r="A10" s="36"/>
      <c r="B10" s="9" t="s">
        <v>19</v>
      </c>
      <c r="C10" s="10">
        <f>COUNTIF(score_sheet!K14:K15,"PASS")</f>
        <v>1</v>
      </c>
      <c r="D10" s="29"/>
      <c r="E10" s="29"/>
      <c r="F10" s="16">
        <f>COUNTIFS(score_sheet!$D$14:$D$15,"M",score_sheet!$K$14:$K$15,"PASS")</f>
        <v>1</v>
      </c>
      <c r="G10" s="16">
        <f>COUNTIFS(score_sheet!$D$14:$D$15,"F",score_sheet!$K$14:$K$15,"PASS")</f>
        <v>0</v>
      </c>
    </row>
    <row r="11" spans="1:7" x14ac:dyDescent="0.35">
      <c r="A11" s="30" t="s">
        <v>20</v>
      </c>
      <c r="B11" s="30"/>
      <c r="C11" s="30"/>
      <c r="D11" s="30"/>
      <c r="E11" s="30"/>
      <c r="F11" s="30"/>
      <c r="G11" s="30"/>
    </row>
    <row r="12" spans="1:7" ht="39" x14ac:dyDescent="0.35">
      <c r="A12" s="11"/>
      <c r="B12" s="12" t="s">
        <v>21</v>
      </c>
      <c r="C12" s="12" t="s">
        <v>31</v>
      </c>
      <c r="D12" s="12" t="s">
        <v>38</v>
      </c>
      <c r="E12" s="12" t="s">
        <v>32</v>
      </c>
      <c r="F12" s="12" t="s">
        <v>39</v>
      </c>
      <c r="G12" s="12" t="s">
        <v>33</v>
      </c>
    </row>
    <row r="13" spans="1:7" x14ac:dyDescent="0.35">
      <c r="A13" s="3" t="s">
        <v>46</v>
      </c>
      <c r="B13" s="13">
        <f>C10/C9*100</f>
        <v>50</v>
      </c>
      <c r="C13" s="17">
        <f>AVERAGE(score_sheet!F14:F15)</f>
        <v>132.875</v>
      </c>
      <c r="D13" s="17">
        <f>MIN(score_sheet!F14:F15)</f>
        <v>80.75</v>
      </c>
      <c r="E13" s="18">
        <f>MAX(score_sheet!F14:F15)</f>
        <v>185</v>
      </c>
      <c r="F13" s="19">
        <f>MEDIAN(score_sheet!F14:F15)</f>
        <v>132.875</v>
      </c>
      <c r="G13" s="18">
        <f>STDEVP(score_sheet!F14:F15)</f>
        <v>52.125</v>
      </c>
    </row>
    <row r="14" spans="1:7" x14ac:dyDescent="0.35">
      <c r="A14" s="3" t="s">
        <v>42</v>
      </c>
      <c r="B14" s="13">
        <f>C10/C9*100</f>
        <v>50</v>
      </c>
      <c r="C14" s="17">
        <f>AVERAGE(score_sheet!H14:H15)</f>
        <v>25.5</v>
      </c>
      <c r="D14" s="17">
        <f>MIN(score_sheet!H14:H15)</f>
        <v>25</v>
      </c>
      <c r="E14" s="18">
        <f>MAX(score_sheet!H14:H15)</f>
        <v>26</v>
      </c>
      <c r="F14" s="19">
        <f>MEDIAN(score_sheet!H14:H15)</f>
        <v>25.5</v>
      </c>
      <c r="G14" s="18">
        <f>STDEVP(score_sheet!H14:H15)</f>
        <v>0.5</v>
      </c>
    </row>
    <row r="15" spans="1:7" x14ac:dyDescent="0.35">
      <c r="A15" s="30" t="s">
        <v>22</v>
      </c>
      <c r="B15" s="30"/>
      <c r="C15" s="30"/>
      <c r="D15" s="30"/>
      <c r="E15" s="30"/>
      <c r="F15" s="30"/>
      <c r="G15" s="30"/>
    </row>
    <row r="16" spans="1:7" x14ac:dyDescent="0.35">
      <c r="A16" s="14"/>
      <c r="B16" s="14">
        <v>1</v>
      </c>
      <c r="C16" s="14">
        <v>2</v>
      </c>
      <c r="D16" s="14">
        <v>3</v>
      </c>
      <c r="E16" s="14">
        <v>4</v>
      </c>
      <c r="F16" s="14">
        <v>5</v>
      </c>
      <c r="G16" s="14">
        <v>6</v>
      </c>
    </row>
    <row r="17" spans="1:7" x14ac:dyDescent="0.35">
      <c r="A17" s="38" t="s">
        <v>46</v>
      </c>
      <c r="B17" s="39" t="s">
        <v>59</v>
      </c>
      <c r="C17" s="39" t="s">
        <v>60</v>
      </c>
      <c r="D17" s="39" t="s">
        <v>61</v>
      </c>
      <c r="E17" s="39" t="s">
        <v>62</v>
      </c>
      <c r="F17" s="39" t="s">
        <v>63</v>
      </c>
      <c r="G17" s="39" t="s">
        <v>64</v>
      </c>
    </row>
    <row r="18" spans="1:7" x14ac:dyDescent="0.35">
      <c r="A18" s="38"/>
      <c r="B18" s="39" t="s">
        <v>65</v>
      </c>
      <c r="C18" s="39" t="s">
        <v>66</v>
      </c>
      <c r="D18" s="40"/>
      <c r="E18" s="40"/>
      <c r="F18" s="40"/>
      <c r="G18" s="40"/>
    </row>
    <row r="19" spans="1:7" x14ac:dyDescent="0.35">
      <c r="A19" s="38"/>
      <c r="B19" s="41"/>
      <c r="C19" s="41"/>
      <c r="D19" s="41"/>
      <c r="E19" s="41"/>
      <c r="F19" s="41"/>
      <c r="G19" s="41"/>
    </row>
    <row r="20" spans="1:7" x14ac:dyDescent="0.35">
      <c r="A20" s="38" t="s">
        <v>42</v>
      </c>
      <c r="B20" s="39" t="s">
        <v>67</v>
      </c>
      <c r="C20" s="39" t="s">
        <v>64</v>
      </c>
      <c r="D20" s="39" t="s">
        <v>65</v>
      </c>
      <c r="E20" s="41"/>
      <c r="F20" s="41"/>
      <c r="G20" s="41"/>
    </row>
    <row r="21" spans="1:7" x14ac:dyDescent="0.35">
      <c r="A21" s="38"/>
      <c r="B21" s="41"/>
      <c r="C21" s="41"/>
      <c r="D21" s="41"/>
      <c r="E21" s="41"/>
      <c r="F21" s="41"/>
      <c r="G21" s="41"/>
    </row>
    <row r="22" spans="1:7" x14ac:dyDescent="0.35">
      <c r="A22" s="38"/>
      <c r="B22" s="41"/>
      <c r="C22" s="41"/>
      <c r="D22" s="41"/>
      <c r="E22" s="41"/>
      <c r="F22" s="41"/>
      <c r="G22" s="41"/>
    </row>
    <row r="23" spans="1:7" x14ac:dyDescent="0.35">
      <c r="A23" s="30" t="s">
        <v>37</v>
      </c>
      <c r="B23" s="30"/>
      <c r="C23" s="30"/>
      <c r="D23" s="30"/>
      <c r="E23" s="30"/>
      <c r="F23" s="30"/>
      <c r="G23" s="30"/>
    </row>
    <row r="24" spans="1:7" x14ac:dyDescent="0.35">
      <c r="A24" s="38" t="s">
        <v>46</v>
      </c>
      <c r="B24" s="41"/>
      <c r="C24" s="41"/>
      <c r="D24" s="41"/>
      <c r="E24" s="41"/>
      <c r="F24" s="41"/>
      <c r="G24" s="41"/>
    </row>
    <row r="25" spans="1:7" x14ac:dyDescent="0.35">
      <c r="A25" s="38"/>
      <c r="B25" s="41"/>
      <c r="C25" s="41"/>
      <c r="D25" s="41"/>
      <c r="E25" s="41"/>
      <c r="F25" s="41"/>
      <c r="G25" s="41"/>
    </row>
    <row r="26" spans="1:7" x14ac:dyDescent="0.35">
      <c r="A26" s="38"/>
      <c r="B26" s="41"/>
      <c r="C26" s="41"/>
      <c r="D26" s="41"/>
      <c r="E26" s="41"/>
      <c r="F26" s="41"/>
      <c r="G26" s="41"/>
    </row>
    <row r="27" spans="1:7" ht="15" customHeight="1" x14ac:dyDescent="0.35">
      <c r="A27" s="38" t="s">
        <v>42</v>
      </c>
      <c r="B27" s="39" t="s">
        <v>68</v>
      </c>
      <c r="C27" s="39" t="s">
        <v>69</v>
      </c>
      <c r="D27" s="39" t="s">
        <v>70</v>
      </c>
      <c r="E27" s="39" t="s">
        <v>71</v>
      </c>
      <c r="F27" s="39" t="s">
        <v>72</v>
      </c>
      <c r="G27" s="39" t="s">
        <v>59</v>
      </c>
    </row>
    <row r="28" spans="1:7" x14ac:dyDescent="0.35">
      <c r="A28" s="38"/>
      <c r="B28" s="41"/>
      <c r="C28" s="41"/>
      <c r="D28" s="41"/>
      <c r="E28" s="41"/>
      <c r="F28" s="41"/>
      <c r="G28" s="41"/>
    </row>
    <row r="29" spans="1:7" x14ac:dyDescent="0.35">
      <c r="A29" s="38"/>
      <c r="B29" s="41"/>
      <c r="C29" s="41"/>
      <c r="D29" s="41"/>
      <c r="E29" s="41"/>
      <c r="F29" s="41"/>
      <c r="G29" s="41"/>
    </row>
    <row r="30" spans="1:7" x14ac:dyDescent="0.35">
      <c r="A30" s="30" t="s">
        <v>23</v>
      </c>
      <c r="B30" s="30"/>
      <c r="C30" s="30"/>
      <c r="D30" s="30"/>
      <c r="E30" s="30"/>
      <c r="F30" s="30"/>
      <c r="G30" s="30"/>
    </row>
    <row r="31" spans="1:7" x14ac:dyDescent="0.35">
      <c r="A31" s="38" t="s">
        <v>46</v>
      </c>
      <c r="B31" s="39" t="s">
        <v>72</v>
      </c>
      <c r="C31" s="39" t="s">
        <v>73</v>
      </c>
      <c r="D31" s="41"/>
      <c r="E31" s="41"/>
      <c r="F31" s="41"/>
      <c r="G31" s="41"/>
    </row>
    <row r="32" spans="1:7" x14ac:dyDescent="0.35">
      <c r="A32" s="38"/>
      <c r="B32" s="41"/>
      <c r="C32" s="41"/>
      <c r="D32" s="41"/>
      <c r="E32" s="41"/>
      <c r="F32" s="41"/>
      <c r="G32" s="41"/>
    </row>
    <row r="33" spans="1:7" x14ac:dyDescent="0.35">
      <c r="A33" s="38"/>
      <c r="B33" s="41"/>
      <c r="C33" s="41"/>
      <c r="D33" s="41"/>
      <c r="E33" s="41"/>
      <c r="F33" s="41"/>
      <c r="G33" s="41"/>
    </row>
    <row r="34" spans="1:7" ht="15" customHeight="1" x14ac:dyDescent="0.35">
      <c r="A34" s="38" t="s">
        <v>42</v>
      </c>
      <c r="B34" s="39" t="s">
        <v>62</v>
      </c>
      <c r="C34" s="39" t="s">
        <v>63</v>
      </c>
      <c r="D34" s="39" t="s">
        <v>66</v>
      </c>
      <c r="E34" s="41"/>
      <c r="F34" s="41"/>
      <c r="G34" s="41"/>
    </row>
    <row r="35" spans="1:7" x14ac:dyDescent="0.35">
      <c r="A35" s="38"/>
      <c r="B35" s="41"/>
      <c r="C35" s="41"/>
      <c r="D35" s="41"/>
      <c r="E35" s="41"/>
      <c r="F35" s="41"/>
      <c r="G35" s="41"/>
    </row>
    <row r="36" spans="1:7" x14ac:dyDescent="0.35">
      <c r="A36" s="38"/>
      <c r="B36" s="41"/>
      <c r="C36" s="41"/>
      <c r="D36" s="41"/>
      <c r="E36" s="41"/>
      <c r="F36" s="41"/>
      <c r="G36" s="41"/>
    </row>
  </sheetData>
  <mergeCells count="18">
    <mergeCell ref="A30:G30"/>
    <mergeCell ref="A31:A33"/>
    <mergeCell ref="A34:A36"/>
    <mergeCell ref="B5:G5"/>
    <mergeCell ref="A7:A10"/>
    <mergeCell ref="A11:G11"/>
    <mergeCell ref="A15:G15"/>
    <mergeCell ref="A17:A19"/>
    <mergeCell ref="A20:A22"/>
    <mergeCell ref="A24:A26"/>
    <mergeCell ref="A27:A29"/>
    <mergeCell ref="D7:E10"/>
    <mergeCell ref="A23:G23"/>
    <mergeCell ref="A1:G1"/>
    <mergeCell ref="A2:G2"/>
    <mergeCell ref="B3:G3"/>
    <mergeCell ref="B4:C4"/>
    <mergeCell ref="E4:G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showGridLines="0" workbookViewId="0">
      <selection activeCell="F24" sqref="F24"/>
    </sheetView>
  </sheetViews>
  <sheetFormatPr defaultRowHeight="14.5" x14ac:dyDescent="0.35"/>
  <sheetData>
    <row r="1" spans="1:2" x14ac:dyDescent="0.35">
      <c r="A1" s="15" t="s">
        <v>11</v>
      </c>
      <c r="B1" s="15" t="str">
        <f>score_sheet!B10</f>
        <v>APPR221220260021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Megha singh</cp:lastModifiedBy>
  <dcterms:created xsi:type="dcterms:W3CDTF">2015-05-01T13:34:33Z</dcterms:created>
  <dcterms:modified xsi:type="dcterms:W3CDTF">2026-06-15T13:41:48Z</dcterms:modified>
</cp:coreProperties>
</file>