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EC2B4E1F-9811-498D-9026-08DFE9487E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5" l="1"/>
  <c r="F16" i="5"/>
  <c r="E16" i="5"/>
  <c r="C16" i="5"/>
  <c r="G15" i="5"/>
  <c r="F15" i="5"/>
  <c r="E15" i="5"/>
  <c r="D15" i="5"/>
  <c r="C15" i="5"/>
  <c r="G14" i="5"/>
  <c r="F14" i="5"/>
  <c r="E14" i="5"/>
  <c r="D14" i="5"/>
  <c r="C14" i="5"/>
  <c r="G13" i="5"/>
  <c r="F13" i="5"/>
  <c r="E13" i="5"/>
  <c r="D13" i="5"/>
  <c r="C13" i="5"/>
  <c r="G10" i="5"/>
  <c r="F10" i="5"/>
  <c r="G9" i="5"/>
  <c r="F9" i="5"/>
  <c r="G8" i="5"/>
  <c r="F8" i="5"/>
  <c r="M15" i="1" l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14" i="1"/>
  <c r="N15" i="1"/>
  <c r="N16" i="1"/>
  <c r="P16" i="1" s="1"/>
  <c r="O16" i="1" s="1"/>
  <c r="N17" i="1"/>
  <c r="N18" i="1"/>
  <c r="P18" i="1" s="1"/>
  <c r="O18" i="1" s="1"/>
  <c r="N19" i="1"/>
  <c r="N20" i="1"/>
  <c r="P20" i="1" s="1"/>
  <c r="O20" i="1" s="1"/>
  <c r="N21" i="1"/>
  <c r="N22" i="1"/>
  <c r="P22" i="1" s="1"/>
  <c r="O22" i="1" s="1"/>
  <c r="N23" i="1"/>
  <c r="N24" i="1"/>
  <c r="P24" i="1" s="1"/>
  <c r="O24" i="1" s="1"/>
  <c r="N25" i="1"/>
  <c r="N26" i="1"/>
  <c r="P26" i="1" s="1"/>
  <c r="O26" i="1" s="1"/>
  <c r="N27" i="1"/>
  <c r="N28" i="1"/>
  <c r="P28" i="1" s="1"/>
  <c r="O28" i="1" s="1"/>
  <c r="N29" i="1"/>
  <c r="N14" i="1"/>
  <c r="P17" i="1" l="1"/>
  <c r="O17" i="1" s="1"/>
  <c r="P23" i="1"/>
  <c r="O23" i="1" s="1"/>
  <c r="P15" i="1"/>
  <c r="O15" i="1" s="1"/>
  <c r="P19" i="1"/>
  <c r="O19" i="1" s="1"/>
  <c r="P21" i="1"/>
  <c r="O21" i="1" s="1"/>
  <c r="P25" i="1"/>
  <c r="O25" i="1" s="1"/>
  <c r="P27" i="1"/>
  <c r="O27" i="1" s="1"/>
  <c r="P29" i="1"/>
  <c r="O29" i="1" s="1"/>
  <c r="P14" i="1"/>
  <c r="B6" i="5"/>
  <c r="B5" i="5"/>
  <c r="B4" i="5"/>
  <c r="B3" i="5"/>
  <c r="C8" i="5" l="1"/>
  <c r="O14" i="1"/>
  <c r="B1" i="6"/>
  <c r="D16" i="5" l="1"/>
  <c r="C9" i="5"/>
  <c r="C10" i="5"/>
  <c r="B16" i="5" l="1"/>
  <c r="B14" i="5"/>
  <c r="B15" i="5"/>
  <c r="B13" i="5"/>
</calcChain>
</file>

<file path=xl/sharedStrings.xml><?xml version="1.0" encoding="utf-8"?>
<sst xmlns="http://schemas.openxmlformats.org/spreadsheetml/2006/main" count="179" uniqueCount="105">
  <si>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</si>
  <si>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</si>
  <si>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</si>
  <si>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</si>
  <si>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</si>
  <si>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</si>
  <si>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</si>
  <si>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</si>
  <si>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</si>
  <si>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</si>
  <si>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</si>
  <si>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</si>
  <si>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</si>
  <si>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</si>
  <si>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</si>
  <si>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</si>
  <si>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</si>
  <si>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</si>
  <si>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</si>
  <si>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</si>
  <si>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</si>
  <si>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</si>
  <si>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</si>
  <si>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</si>
  <si>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</si>
  <si>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</si>
  <si>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</si>
  <si>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</si>
  <si>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</si>
  <si>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</si>
  <si>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</si>
  <si>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</si>
  <si>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</si>
  <si>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</si>
  <si>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</si>
  <si>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</si>
  <si>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</si>
  <si>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</si>
  <si>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</si>
  <si>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</si>
  <si>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</si>
  <si>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SSC/N0501 - Score</t>
  </si>
  <si>
    <t>SSC/N0502 - Score</t>
  </si>
  <si>
    <t>SSC/N9014 - Score</t>
  </si>
  <si>
    <t>DGT/VSQ/N0102 - Score</t>
  </si>
  <si>
    <t>Software Developer-IT Services</t>
  </si>
  <si>
    <t>SSC/Q0501</t>
  </si>
  <si>
    <t>SSC/N0501</t>
  </si>
  <si>
    <t>SSC/N0502</t>
  </si>
  <si>
    <t>SSC/N9014</t>
  </si>
  <si>
    <t>DGT/VSQ/N0102</t>
  </si>
  <si>
    <t>NA</t>
  </si>
  <si>
    <t>Assessor Name/AR ID</t>
  </si>
  <si>
    <t>BVoC050120260117</t>
  </si>
  <si>
    <t>B.VOC</t>
  </si>
  <si>
    <t>Sikkim Government Vocational College, Dentam</t>
  </si>
  <si>
    <t>Sikkim</t>
  </si>
  <si>
    <t>Gyalshing</t>
  </si>
  <si>
    <t>AR16234 &amp; Vikash Kumar Gupta</t>
  </si>
  <si>
    <t>Binu Hang Subba</t>
  </si>
  <si>
    <t>24DSD016</t>
  </si>
  <si>
    <t>Bijay Gurung</t>
  </si>
  <si>
    <t>24DSD002</t>
  </si>
  <si>
    <t>Aditya Rai</t>
  </si>
  <si>
    <t>24DSD006</t>
  </si>
  <si>
    <t>Aradhna Manger</t>
  </si>
  <si>
    <t>24DSD011</t>
  </si>
  <si>
    <t>Alisha Limboo</t>
  </si>
  <si>
    <t>24DSD027</t>
  </si>
  <si>
    <t>Chumit Lepcha</t>
  </si>
  <si>
    <t>24DSD008</t>
  </si>
  <si>
    <t>Sachitra Limboo</t>
  </si>
  <si>
    <t>24DSD015</t>
  </si>
  <si>
    <t>Sancha Rani Limboo</t>
  </si>
  <si>
    <t>24DSD009</t>
  </si>
  <si>
    <t>Smita Rai</t>
  </si>
  <si>
    <t>24DSD018</t>
  </si>
  <si>
    <t>Durga  Devi Sharma</t>
  </si>
  <si>
    <t>24DSD025</t>
  </si>
  <si>
    <t>Yangchenla Bhutia</t>
  </si>
  <si>
    <t>24DSD030</t>
  </si>
  <si>
    <t>Asha Rai</t>
  </si>
  <si>
    <t>24DSD014</t>
  </si>
  <si>
    <t>Samphungma Limboo</t>
  </si>
  <si>
    <t>24DSD020</t>
  </si>
  <si>
    <t>Namoti Subba</t>
  </si>
  <si>
    <t>24DSD019</t>
  </si>
  <si>
    <t>Meena Sharma</t>
  </si>
  <si>
    <t>24DSD022</t>
  </si>
  <si>
    <t>Bishal Subba</t>
  </si>
  <si>
    <t>23DSD016</t>
  </si>
  <si>
    <t>PC1</t>
  </si>
  <si>
    <t>PC2</t>
  </si>
  <si>
    <t>PC11</t>
  </si>
  <si>
    <t>PC3</t>
  </si>
  <si>
    <t>PC10</t>
  </si>
  <si>
    <t>PC6</t>
  </si>
  <si>
    <t>PC4</t>
  </si>
  <si>
    <t>PC12</t>
  </si>
  <si>
    <t>PC5</t>
  </si>
  <si>
    <t>PC7</t>
  </si>
  <si>
    <t>PC8</t>
  </si>
  <si>
    <t>PC9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</si>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</sst>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519104"/>
        <c:axId val="207520896"/>
      </c:barChart>
      <c:catAx>
        <c:axId val="207519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7520896"/>
        <c:crosses val="autoZero"/>
        <c:auto val="1"/>
        <c:lblAlgn val="ctr"/>
        <c:lblOffset val="100"/>
        <c:noMultiLvlLbl val="0"/>
      </c:catAx>
      <c:valAx>
        <c:axId val="207520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Tabular'!$B$13:$B$16</c:f>
              <c:numCache>
                <c:formatCode>0</c:formatCode>
                <c:ptCount val="4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Tabular'!$C$13:$C$16</c:f>
              <c:numCache>
                <c:formatCode>0.00</c:formatCode>
                <c:ptCount val="4"/>
                <c:pt idx="0">
                  <c:v>66.5625</c:v>
                </c:pt>
                <c:pt idx="1">
                  <c:v>68.125</c:v>
                </c:pt>
                <c:pt idx="2">
                  <c:v>67.8125</c:v>
                </c:pt>
                <c:pt idx="3">
                  <c:v>38.3125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Tabular'!$D$13:$D$16</c:f>
              <c:numCache>
                <c:formatCode>0.00</c:formatCode>
                <c:ptCount val="4"/>
                <c:pt idx="0">
                  <c:v>10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Tabular'!$E$13:$E$16</c:f>
              <c:numCache>
                <c:formatCode>0.00</c:formatCode>
                <c:ptCount val="4"/>
                <c:pt idx="0">
                  <c:v>90</c:v>
                </c:pt>
                <c:pt idx="1">
                  <c:v>90</c:v>
                </c:pt>
                <c:pt idx="2">
                  <c:v>95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Tabular'!$F$13:$F$16</c:f>
              <c:numCache>
                <c:formatCode>0.00</c:formatCode>
                <c:ptCount val="4"/>
                <c:pt idx="0">
                  <c:v>82.5</c:v>
                </c:pt>
                <c:pt idx="1">
                  <c:v>70</c:v>
                </c:pt>
                <c:pt idx="2">
                  <c:v>75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Tabular'!$A$13:$A$16</c:f>
              <c:strCache>
                <c:ptCount val="4"/>
                <c:pt idx="0">
                  <c:v>SSC/N0501</c:v>
                </c:pt>
                <c:pt idx="1">
                  <c:v>SSC/N0502</c:v>
                </c:pt>
                <c:pt idx="2">
                  <c:v>SSC/N9014</c:v>
                </c:pt>
                <c:pt idx="3">
                  <c:v>DGT/VSQ/N0102</c:v>
                </c:pt>
              </c:strCache>
            </c:strRef>
          </c:cat>
          <c:val>
            <c:numRef>
              <c:f>'Batch Analysis - Tabular'!$G$13:$G$16</c:f>
              <c:numCache>
                <c:formatCode>0.00</c:formatCode>
                <c:ptCount val="4"/>
                <c:pt idx="0">
                  <c:v>28.598445652692387</c:v>
                </c:pt>
                <c:pt idx="1">
                  <c:v>16.571341979453564</c:v>
                </c:pt>
                <c:pt idx="2">
                  <c:v>20.764208237975268</c:v>
                </c:pt>
                <c:pt idx="3">
                  <c:v>7.0862432748248203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15552"/>
        <c:axId val="207429632"/>
      </c:barChart>
      <c:catAx>
        <c:axId val="2074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29632"/>
        <c:crosses val="autoZero"/>
        <c:auto val="1"/>
        <c:lblAlgn val="ctr"/>
        <c:lblOffset val="100"/>
        <c:noMultiLvlLbl val="0"/>
      </c:catAx>
      <c:valAx>
        <c:axId val="20742963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48320"/>
        <c:axId val="207458304"/>
      </c:barChart>
      <c:catAx>
        <c:axId val="2074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58304"/>
        <c:crosses val="autoZero"/>
        <c:auto val="1"/>
        <c:lblAlgn val="ctr"/>
        <c:lblOffset val="100"/>
        <c:noMultiLvlLbl val="0"/>
      </c:catAx>
      <c:valAx>
        <c:axId val="20745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tabSelected="1" zoomScale="72" zoomScaleNormal="85" workbookViewId="0">
      <selection activeCell="F5" sqref="F5"/>
    </sheetView>
  </sheetViews>
  <sheetFormatPr defaultColWidth="9.1796875" defaultRowHeight="14.5" x14ac:dyDescent="0.35"/>
  <cols>
    <col min="1" max="1" width="33.1796875" bestFit="1" customWidth="1"/>
    <col min="2" max="2" width="33.54296875" customWidth="1"/>
    <col min="3" max="3" width="15.81640625" customWidth="1"/>
    <col min="4" max="4" width="10.81640625" bestFit="1" customWidth="1"/>
    <col min="5" max="5" width="16.26953125" bestFit="1" customWidth="1"/>
    <col min="6" max="15" width="12.54296875" customWidth="1"/>
  </cols>
  <sheetData>
    <row r="1" spans="1:16" x14ac:dyDescent="0.35">
      <c r="A1" s="24" t="s">
        <v>0</v>
      </c>
      <c r="B1" s="24" t="s">
        <v>40</v>
      </c>
    </row>
    <row r="2" spans="1:16" ht="29" x14ac:dyDescent="0.35">
      <c r="A2" s="24" t="s">
        <v>1</v>
      </c>
      <c r="B2" s="25" t="s">
        <v>55</v>
      </c>
    </row>
    <row r="3" spans="1:16" x14ac:dyDescent="0.35">
      <c r="A3" s="24" t="s">
        <v>2</v>
      </c>
      <c r="B3" s="24" t="s">
        <v>45</v>
      </c>
    </row>
    <row r="4" spans="1:16" x14ac:dyDescent="0.35">
      <c r="A4" s="24" t="s">
        <v>34</v>
      </c>
      <c r="B4" s="24" t="s">
        <v>46</v>
      </c>
    </row>
    <row r="5" spans="1:16" x14ac:dyDescent="0.35">
      <c r="A5" s="24" t="s">
        <v>52</v>
      </c>
      <c r="B5" s="24" t="s">
        <v>58</v>
      </c>
    </row>
    <row r="6" spans="1:16" x14ac:dyDescent="0.35">
      <c r="A6" s="24" t="s">
        <v>35</v>
      </c>
      <c r="B6" s="24" t="s">
        <v>54</v>
      </c>
    </row>
    <row r="7" spans="1:16" x14ac:dyDescent="0.35">
      <c r="A7" s="24" t="s">
        <v>3</v>
      </c>
      <c r="B7" s="24" t="s">
        <v>56</v>
      </c>
    </row>
    <row r="8" spans="1:16" x14ac:dyDescent="0.35">
      <c r="A8" s="24" t="s">
        <v>4</v>
      </c>
      <c r="B8" s="24" t="s">
        <v>57</v>
      </c>
    </row>
    <row r="9" spans="1:16" x14ac:dyDescent="0.35">
      <c r="A9" s="24" t="s">
        <v>36</v>
      </c>
      <c r="B9" s="24" t="s">
        <v>51</v>
      </c>
    </row>
    <row r="10" spans="1:16" x14ac:dyDescent="0.35">
      <c r="A10" s="24" t="s">
        <v>5</v>
      </c>
      <c r="B10" s="24" t="s">
        <v>53</v>
      </c>
    </row>
    <row r="11" spans="1:16" x14ac:dyDescent="0.35">
      <c r="A11" s="26"/>
      <c r="B11" s="26"/>
    </row>
    <row r="13" spans="1:16" ht="29" x14ac:dyDescent="0.3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41</v>
      </c>
      <c r="G13" s="28" t="s">
        <v>29</v>
      </c>
      <c r="H13" s="28" t="s">
        <v>42</v>
      </c>
      <c r="I13" s="28" t="s">
        <v>29</v>
      </c>
      <c r="J13" s="28" t="s">
        <v>43</v>
      </c>
      <c r="K13" s="28" t="s">
        <v>29</v>
      </c>
      <c r="L13" s="28" t="s">
        <v>44</v>
      </c>
      <c r="M13" s="28" t="s">
        <v>29</v>
      </c>
      <c r="N13" s="28" t="s">
        <v>16</v>
      </c>
      <c r="O13" s="28" t="s">
        <v>30</v>
      </c>
      <c r="P13" s="28" t="s">
        <v>24</v>
      </c>
    </row>
    <row r="14" spans="1:16" x14ac:dyDescent="0.35">
      <c r="A14" s="24" t="s">
        <v>53</v>
      </c>
      <c r="B14" s="30" t="s">
        <v>59</v>
      </c>
      <c r="C14" s="30" t="s">
        <v>60</v>
      </c>
      <c r="D14" s="29" t="s">
        <v>103</v>
      </c>
      <c r="E14" s="31">
        <v>46177</v>
      </c>
      <c r="F14" s="30">
        <v>85</v>
      </c>
      <c r="G14" s="24" t="str">
        <f>IF(F14&gt;=70,"PASS",IF(F14&gt;0,"FAIL", "ABSENT"))</f>
        <v>PASS</v>
      </c>
      <c r="H14" s="30">
        <v>90</v>
      </c>
      <c r="I14" s="24" t="str">
        <f>IF(H14&gt;=70,"PASS",IF(H14&gt;0,"FAIL", "ABSENT"))</f>
        <v>PASS</v>
      </c>
      <c r="J14" s="30">
        <v>55</v>
      </c>
      <c r="K14" s="24" t="str">
        <f>IF(J14&gt;=70,"PASS",IF(J14&gt;0,"FAIL", "ABSENT"))</f>
        <v>FAIL</v>
      </c>
      <c r="L14" s="30">
        <v>46</v>
      </c>
      <c r="M14" s="24" t="str">
        <f>IF(L14&gt;=35,"PASS",IF(L14&gt;0,"FAIL", "ABSENT"))</f>
        <v>PASS</v>
      </c>
      <c r="N14" s="29">
        <f>F14+H14+J14+L14</f>
        <v>276</v>
      </c>
      <c r="O14" s="24" t="str">
        <f>IF(P14&gt;=70,"PASS",IF(P14&gt;0,"FAIL","ABSENT"))</f>
        <v>PASS</v>
      </c>
      <c r="P14" s="32">
        <f>N14/350*100</f>
        <v>78.857142857142861</v>
      </c>
    </row>
    <row r="15" spans="1:16" x14ac:dyDescent="0.35">
      <c r="A15" s="24" t="s">
        <v>53</v>
      </c>
      <c r="B15" s="30" t="s">
        <v>61</v>
      </c>
      <c r="C15" s="30" t="s">
        <v>62</v>
      </c>
      <c r="D15" s="29" t="s">
        <v>103</v>
      </c>
      <c r="E15" s="31">
        <v>46177</v>
      </c>
      <c r="F15" s="30">
        <v>85</v>
      </c>
      <c r="G15" s="24" t="str">
        <f t="shared" ref="G15:G29" si="0">IF(F15&gt;=70,"PASS",IF(F15&gt;0,"FAIL", "ABSENT"))</f>
        <v>PASS</v>
      </c>
      <c r="H15" s="30">
        <v>90</v>
      </c>
      <c r="I15" s="24" t="str">
        <f t="shared" ref="I15:I29" si="1">IF(H15&gt;=70,"PASS",IF(H15&gt;0,"FAIL", "ABSENT"))</f>
        <v>PASS</v>
      </c>
      <c r="J15" s="30">
        <v>55</v>
      </c>
      <c r="K15" s="24" t="str">
        <f t="shared" ref="K15:K29" si="2">IF(J15&gt;=70,"PASS",IF(J15&gt;0,"FAIL", "ABSENT"))</f>
        <v>FAIL</v>
      </c>
      <c r="L15" s="30">
        <v>48</v>
      </c>
      <c r="M15" s="24" t="str">
        <f t="shared" ref="M15:M29" si="3">IF(L15&gt;=35,"PASS",IF(L15&gt;0,"FAIL", "ABSENT"))</f>
        <v>PASS</v>
      </c>
      <c r="N15" s="29">
        <f t="shared" ref="N15:N29" si="4">F15+H15+J15+L15</f>
        <v>278</v>
      </c>
      <c r="O15" s="24" t="str">
        <f t="shared" ref="O15:O29" si="5">IF(P15&gt;=70,"PASS",IF(P15&gt;0,"FAIL","ABSENT"))</f>
        <v>PASS</v>
      </c>
      <c r="P15" s="32">
        <f t="shared" ref="P15:P29" si="6">N15/350*100</f>
        <v>79.428571428571431</v>
      </c>
    </row>
    <row r="16" spans="1:16" x14ac:dyDescent="0.35">
      <c r="A16" s="24" t="s">
        <v>53</v>
      </c>
      <c r="B16" s="30" t="s">
        <v>63</v>
      </c>
      <c r="C16" s="30" t="s">
        <v>64</v>
      </c>
      <c r="D16" s="29" t="s">
        <v>103</v>
      </c>
      <c r="E16" s="31">
        <v>46177</v>
      </c>
      <c r="F16" s="30">
        <v>85</v>
      </c>
      <c r="G16" s="24" t="str">
        <f t="shared" si="0"/>
        <v>PASS</v>
      </c>
      <c r="H16" s="30">
        <v>70</v>
      </c>
      <c r="I16" s="24" t="str">
        <f t="shared" si="1"/>
        <v>PASS</v>
      </c>
      <c r="J16" s="30">
        <v>80</v>
      </c>
      <c r="K16" s="24" t="str">
        <f t="shared" si="2"/>
        <v>PASS</v>
      </c>
      <c r="L16" s="30">
        <v>43</v>
      </c>
      <c r="M16" s="24" t="str">
        <f t="shared" si="3"/>
        <v>PASS</v>
      </c>
      <c r="N16" s="29">
        <f t="shared" si="4"/>
        <v>278</v>
      </c>
      <c r="O16" s="24" t="str">
        <f t="shared" si="5"/>
        <v>PASS</v>
      </c>
      <c r="P16" s="32">
        <f t="shared" si="6"/>
        <v>79.428571428571431</v>
      </c>
    </row>
    <row r="17" spans="1:16" x14ac:dyDescent="0.35">
      <c r="A17" s="24" t="s">
        <v>53</v>
      </c>
      <c r="B17" s="30" t="s">
        <v>65</v>
      </c>
      <c r="C17" s="30" t="s">
        <v>66</v>
      </c>
      <c r="D17" s="29" t="s">
        <v>104</v>
      </c>
      <c r="E17" s="31">
        <v>46177</v>
      </c>
      <c r="F17" s="30">
        <v>90</v>
      </c>
      <c r="G17" s="24" t="str">
        <f t="shared" si="0"/>
        <v>PASS</v>
      </c>
      <c r="H17" s="30">
        <v>55</v>
      </c>
      <c r="I17" s="24" t="str">
        <f t="shared" si="1"/>
        <v>FAIL</v>
      </c>
      <c r="J17" s="30">
        <v>85</v>
      </c>
      <c r="K17" s="24" t="str">
        <f t="shared" si="2"/>
        <v>PASS</v>
      </c>
      <c r="L17" s="30">
        <v>36</v>
      </c>
      <c r="M17" s="24" t="str">
        <f t="shared" si="3"/>
        <v>PASS</v>
      </c>
      <c r="N17" s="29">
        <f t="shared" si="4"/>
        <v>266</v>
      </c>
      <c r="O17" s="24" t="str">
        <f t="shared" si="5"/>
        <v>PASS</v>
      </c>
      <c r="P17" s="32">
        <f t="shared" si="6"/>
        <v>76</v>
      </c>
    </row>
    <row r="18" spans="1:16" x14ac:dyDescent="0.35">
      <c r="A18" s="24" t="s">
        <v>53</v>
      </c>
      <c r="B18" s="30" t="s">
        <v>67</v>
      </c>
      <c r="C18" s="30" t="s">
        <v>68</v>
      </c>
      <c r="D18" s="29" t="s">
        <v>104</v>
      </c>
      <c r="E18" s="31">
        <v>46177</v>
      </c>
      <c r="F18" s="30">
        <v>80</v>
      </c>
      <c r="G18" s="24" t="str">
        <f t="shared" si="0"/>
        <v>PASS</v>
      </c>
      <c r="H18" s="30">
        <v>70</v>
      </c>
      <c r="I18" s="24" t="str">
        <f t="shared" si="1"/>
        <v>PASS</v>
      </c>
      <c r="J18" s="30">
        <v>75</v>
      </c>
      <c r="K18" s="24" t="str">
        <f t="shared" si="2"/>
        <v>PASS</v>
      </c>
      <c r="L18" s="30">
        <v>47</v>
      </c>
      <c r="M18" s="24" t="str">
        <f t="shared" si="3"/>
        <v>PASS</v>
      </c>
      <c r="N18" s="29">
        <f t="shared" si="4"/>
        <v>272</v>
      </c>
      <c r="O18" s="24" t="str">
        <f t="shared" si="5"/>
        <v>PASS</v>
      </c>
      <c r="P18" s="32">
        <f t="shared" si="6"/>
        <v>77.714285714285708</v>
      </c>
    </row>
    <row r="19" spans="1:16" x14ac:dyDescent="0.35">
      <c r="A19" s="24" t="s">
        <v>53</v>
      </c>
      <c r="B19" s="30" t="s">
        <v>69</v>
      </c>
      <c r="C19" s="30" t="s">
        <v>70</v>
      </c>
      <c r="D19" s="29" t="s">
        <v>104</v>
      </c>
      <c r="E19" s="31">
        <v>46177</v>
      </c>
      <c r="F19" s="30">
        <v>15</v>
      </c>
      <c r="G19" s="24" t="str">
        <f t="shared" si="0"/>
        <v>FAIL</v>
      </c>
      <c r="H19" s="30">
        <v>60</v>
      </c>
      <c r="I19" s="24" t="str">
        <f t="shared" si="1"/>
        <v>FAIL</v>
      </c>
      <c r="J19" s="30">
        <v>35</v>
      </c>
      <c r="K19" s="24" t="str">
        <f t="shared" si="2"/>
        <v>FAIL</v>
      </c>
      <c r="L19" s="30">
        <v>25</v>
      </c>
      <c r="M19" s="24" t="str">
        <f t="shared" si="3"/>
        <v>FAIL</v>
      </c>
      <c r="N19" s="29">
        <f t="shared" si="4"/>
        <v>135</v>
      </c>
      <c r="O19" s="24" t="str">
        <f t="shared" si="5"/>
        <v>FAIL</v>
      </c>
      <c r="P19" s="32">
        <f t="shared" si="6"/>
        <v>38.571428571428577</v>
      </c>
    </row>
    <row r="20" spans="1:16" x14ac:dyDescent="0.35">
      <c r="A20" s="24" t="s">
        <v>53</v>
      </c>
      <c r="B20" s="30" t="s">
        <v>71</v>
      </c>
      <c r="C20" s="30" t="s">
        <v>72</v>
      </c>
      <c r="D20" s="29" t="s">
        <v>104</v>
      </c>
      <c r="E20" s="31">
        <v>46177</v>
      </c>
      <c r="F20" s="30">
        <v>90</v>
      </c>
      <c r="G20" s="24" t="str">
        <f t="shared" si="0"/>
        <v>PASS</v>
      </c>
      <c r="H20" s="30">
        <v>55</v>
      </c>
      <c r="I20" s="24" t="str">
        <f t="shared" si="1"/>
        <v>FAIL</v>
      </c>
      <c r="J20" s="30">
        <v>95</v>
      </c>
      <c r="K20" s="24" t="str">
        <f t="shared" si="2"/>
        <v>PASS</v>
      </c>
      <c r="L20" s="30">
        <v>34</v>
      </c>
      <c r="M20" s="24" t="str">
        <f t="shared" si="3"/>
        <v>FAIL</v>
      </c>
      <c r="N20" s="29">
        <f t="shared" si="4"/>
        <v>274</v>
      </c>
      <c r="O20" s="24" t="str">
        <f t="shared" si="5"/>
        <v>PASS</v>
      </c>
      <c r="P20" s="32">
        <f t="shared" si="6"/>
        <v>78.285714285714278</v>
      </c>
    </row>
    <row r="21" spans="1:16" x14ac:dyDescent="0.35">
      <c r="A21" s="24" t="s">
        <v>53</v>
      </c>
      <c r="B21" s="30" t="s">
        <v>73</v>
      </c>
      <c r="C21" s="30" t="s">
        <v>74</v>
      </c>
      <c r="D21" s="29" t="s">
        <v>104</v>
      </c>
      <c r="E21" s="31">
        <v>46177</v>
      </c>
      <c r="F21" s="30">
        <v>10</v>
      </c>
      <c r="G21" s="24" t="str">
        <f t="shared" si="0"/>
        <v>FAIL</v>
      </c>
      <c r="H21" s="30">
        <v>30</v>
      </c>
      <c r="I21" s="24" t="str">
        <f t="shared" si="1"/>
        <v>FAIL</v>
      </c>
      <c r="J21" s="30">
        <v>55</v>
      </c>
      <c r="K21" s="24" t="str">
        <f t="shared" si="2"/>
        <v>FAIL</v>
      </c>
      <c r="L21" s="30">
        <v>31</v>
      </c>
      <c r="M21" s="24" t="str">
        <f t="shared" si="3"/>
        <v>FAIL</v>
      </c>
      <c r="N21" s="29">
        <f t="shared" si="4"/>
        <v>126</v>
      </c>
      <c r="O21" s="24" t="str">
        <f t="shared" si="5"/>
        <v>FAIL</v>
      </c>
      <c r="P21" s="32">
        <f t="shared" si="6"/>
        <v>36</v>
      </c>
    </row>
    <row r="22" spans="1:16" x14ac:dyDescent="0.35">
      <c r="A22" s="24" t="s">
        <v>53</v>
      </c>
      <c r="B22" s="30" t="s">
        <v>75</v>
      </c>
      <c r="C22" s="30" t="s">
        <v>76</v>
      </c>
      <c r="D22" s="29" t="s">
        <v>104</v>
      </c>
      <c r="E22" s="31">
        <v>46177</v>
      </c>
      <c r="F22" s="30">
        <v>30</v>
      </c>
      <c r="G22" s="24" t="str">
        <f t="shared" si="0"/>
        <v>FAIL</v>
      </c>
      <c r="H22" s="30">
        <v>40</v>
      </c>
      <c r="I22" s="24" t="str">
        <f t="shared" si="1"/>
        <v>FAIL</v>
      </c>
      <c r="J22" s="30">
        <v>35</v>
      </c>
      <c r="K22" s="24" t="str">
        <f t="shared" si="2"/>
        <v>FAIL</v>
      </c>
      <c r="L22" s="30">
        <v>41</v>
      </c>
      <c r="M22" s="24" t="str">
        <f t="shared" si="3"/>
        <v>PASS</v>
      </c>
      <c r="N22" s="29">
        <f t="shared" si="4"/>
        <v>146</v>
      </c>
      <c r="O22" s="24" t="str">
        <f t="shared" si="5"/>
        <v>FAIL</v>
      </c>
      <c r="P22" s="32">
        <f t="shared" si="6"/>
        <v>41.714285714285715</v>
      </c>
    </row>
    <row r="23" spans="1:16" x14ac:dyDescent="0.35">
      <c r="A23" s="24" t="s">
        <v>53</v>
      </c>
      <c r="B23" s="30" t="s">
        <v>77</v>
      </c>
      <c r="C23" s="30" t="s">
        <v>78</v>
      </c>
      <c r="D23" s="29" t="s">
        <v>104</v>
      </c>
      <c r="E23" s="31">
        <v>46177</v>
      </c>
      <c r="F23" s="30">
        <v>70</v>
      </c>
      <c r="G23" s="24" t="str">
        <f t="shared" si="0"/>
        <v>PASS</v>
      </c>
      <c r="H23" s="30">
        <v>90</v>
      </c>
      <c r="I23" s="24" t="str">
        <f t="shared" si="1"/>
        <v>PASS</v>
      </c>
      <c r="J23" s="30">
        <v>65</v>
      </c>
      <c r="K23" s="24" t="str">
        <f t="shared" si="2"/>
        <v>FAIL</v>
      </c>
      <c r="L23" s="30">
        <v>39</v>
      </c>
      <c r="M23" s="24" t="str">
        <f t="shared" si="3"/>
        <v>PASS</v>
      </c>
      <c r="N23" s="29">
        <f t="shared" si="4"/>
        <v>264</v>
      </c>
      <c r="O23" s="24" t="str">
        <f t="shared" si="5"/>
        <v>PASS</v>
      </c>
      <c r="P23" s="32">
        <f t="shared" si="6"/>
        <v>75.428571428571431</v>
      </c>
    </row>
    <row r="24" spans="1:16" x14ac:dyDescent="0.35">
      <c r="A24" s="24" t="s">
        <v>53</v>
      </c>
      <c r="B24" s="30" t="s">
        <v>79</v>
      </c>
      <c r="C24" s="30" t="s">
        <v>80</v>
      </c>
      <c r="D24" s="29" t="s">
        <v>104</v>
      </c>
      <c r="E24" s="31">
        <v>46177</v>
      </c>
      <c r="F24" s="30">
        <v>20</v>
      </c>
      <c r="G24" s="24" t="str">
        <f t="shared" si="0"/>
        <v>FAIL</v>
      </c>
      <c r="H24" s="30">
        <v>65</v>
      </c>
      <c r="I24" s="24" t="str">
        <f t="shared" si="1"/>
        <v>FAIL</v>
      </c>
      <c r="J24" s="30">
        <v>30</v>
      </c>
      <c r="K24" s="24" t="str">
        <f t="shared" si="2"/>
        <v>FAIL</v>
      </c>
      <c r="L24" s="30">
        <v>27</v>
      </c>
      <c r="M24" s="24" t="str">
        <f t="shared" si="3"/>
        <v>FAIL</v>
      </c>
      <c r="N24" s="29">
        <f t="shared" si="4"/>
        <v>142</v>
      </c>
      <c r="O24" s="24" t="str">
        <f t="shared" si="5"/>
        <v>FAIL</v>
      </c>
      <c r="P24" s="32">
        <f t="shared" si="6"/>
        <v>40.571428571428569</v>
      </c>
    </row>
    <row r="25" spans="1:16" x14ac:dyDescent="0.35">
      <c r="A25" s="24" t="s">
        <v>53</v>
      </c>
      <c r="B25" s="30" t="s">
        <v>81</v>
      </c>
      <c r="C25" s="30" t="s">
        <v>82</v>
      </c>
      <c r="D25" s="29" t="s">
        <v>104</v>
      </c>
      <c r="E25" s="31">
        <v>46177</v>
      </c>
      <c r="F25" s="30">
        <v>85</v>
      </c>
      <c r="G25" s="24" t="str">
        <f t="shared" si="0"/>
        <v>PASS</v>
      </c>
      <c r="H25" s="30">
        <v>75</v>
      </c>
      <c r="I25" s="24" t="str">
        <f t="shared" si="1"/>
        <v>PASS</v>
      </c>
      <c r="J25" s="30">
        <v>90</v>
      </c>
      <c r="K25" s="24" t="str">
        <f t="shared" si="2"/>
        <v>PASS</v>
      </c>
      <c r="L25" s="30">
        <v>32</v>
      </c>
      <c r="M25" s="24" t="str">
        <f t="shared" si="3"/>
        <v>FAIL</v>
      </c>
      <c r="N25" s="29">
        <f t="shared" si="4"/>
        <v>282</v>
      </c>
      <c r="O25" s="24" t="str">
        <f t="shared" si="5"/>
        <v>PASS</v>
      </c>
      <c r="P25" s="32">
        <f t="shared" si="6"/>
        <v>80.571428571428569</v>
      </c>
    </row>
    <row r="26" spans="1:16" x14ac:dyDescent="0.35">
      <c r="A26" s="24" t="s">
        <v>53</v>
      </c>
      <c r="B26" s="30" t="s">
        <v>83</v>
      </c>
      <c r="C26" s="30" t="s">
        <v>84</v>
      </c>
      <c r="D26" s="29" t="s">
        <v>104</v>
      </c>
      <c r="E26" s="31">
        <v>46177</v>
      </c>
      <c r="F26" s="30">
        <v>85</v>
      </c>
      <c r="G26" s="24" t="str">
        <f t="shared" si="0"/>
        <v>PASS</v>
      </c>
      <c r="H26" s="30">
        <v>70</v>
      </c>
      <c r="I26" s="24" t="str">
        <f t="shared" si="1"/>
        <v>PASS</v>
      </c>
      <c r="J26" s="30">
        <v>80</v>
      </c>
      <c r="K26" s="24" t="str">
        <f t="shared" si="2"/>
        <v>PASS</v>
      </c>
      <c r="L26" s="30">
        <v>46</v>
      </c>
      <c r="M26" s="24" t="str">
        <f t="shared" si="3"/>
        <v>PASS</v>
      </c>
      <c r="N26" s="29">
        <f t="shared" si="4"/>
        <v>281</v>
      </c>
      <c r="O26" s="24" t="str">
        <f t="shared" si="5"/>
        <v>PASS</v>
      </c>
      <c r="P26" s="32">
        <f t="shared" si="6"/>
        <v>80.285714285714278</v>
      </c>
    </row>
    <row r="27" spans="1:16" x14ac:dyDescent="0.35">
      <c r="A27" s="24" t="s">
        <v>53</v>
      </c>
      <c r="B27" s="30" t="s">
        <v>85</v>
      </c>
      <c r="C27" s="30" t="s">
        <v>86</v>
      </c>
      <c r="D27" s="29" t="s">
        <v>104</v>
      </c>
      <c r="E27" s="31">
        <v>46177</v>
      </c>
      <c r="F27" s="30">
        <v>80</v>
      </c>
      <c r="G27" s="24" t="str">
        <f t="shared" si="0"/>
        <v>PASS</v>
      </c>
      <c r="H27" s="30">
        <v>75</v>
      </c>
      <c r="I27" s="24" t="str">
        <f t="shared" si="1"/>
        <v>PASS</v>
      </c>
      <c r="J27" s="30">
        <v>80</v>
      </c>
      <c r="K27" s="24" t="str">
        <f t="shared" si="2"/>
        <v>PASS</v>
      </c>
      <c r="L27" s="30">
        <v>39</v>
      </c>
      <c r="M27" s="24" t="str">
        <f t="shared" si="3"/>
        <v>PASS</v>
      </c>
      <c r="N27" s="29">
        <f t="shared" si="4"/>
        <v>274</v>
      </c>
      <c r="O27" s="24" t="str">
        <f t="shared" si="5"/>
        <v>PASS</v>
      </c>
      <c r="P27" s="32">
        <f t="shared" si="6"/>
        <v>78.285714285714278</v>
      </c>
    </row>
    <row r="28" spans="1:16" x14ac:dyDescent="0.35">
      <c r="A28" s="24" t="s">
        <v>53</v>
      </c>
      <c r="B28" s="30" t="s">
        <v>87</v>
      </c>
      <c r="C28" s="30" t="s">
        <v>88</v>
      </c>
      <c r="D28" s="29" t="s">
        <v>104</v>
      </c>
      <c r="E28" s="31">
        <v>46177</v>
      </c>
      <c r="F28" s="30">
        <v>90</v>
      </c>
      <c r="G28" s="24" t="str">
        <f t="shared" si="0"/>
        <v>PASS</v>
      </c>
      <c r="H28" s="30">
        <v>75</v>
      </c>
      <c r="I28" s="24" t="str">
        <f t="shared" si="1"/>
        <v>PASS</v>
      </c>
      <c r="J28" s="30">
        <v>75</v>
      </c>
      <c r="K28" s="24" t="str">
        <f t="shared" si="2"/>
        <v>PASS</v>
      </c>
      <c r="L28" s="30">
        <v>34</v>
      </c>
      <c r="M28" s="24" t="str">
        <f t="shared" si="3"/>
        <v>FAIL</v>
      </c>
      <c r="N28" s="29">
        <f t="shared" si="4"/>
        <v>274</v>
      </c>
      <c r="O28" s="24" t="str">
        <f t="shared" si="5"/>
        <v>PASS</v>
      </c>
      <c r="P28" s="32">
        <f t="shared" si="6"/>
        <v>78.285714285714278</v>
      </c>
    </row>
    <row r="29" spans="1:16" x14ac:dyDescent="0.35">
      <c r="A29" s="24" t="s">
        <v>53</v>
      </c>
      <c r="B29" s="30" t="s">
        <v>89</v>
      </c>
      <c r="C29" s="30" t="s">
        <v>90</v>
      </c>
      <c r="D29" s="29" t="s">
        <v>103</v>
      </c>
      <c r="E29" s="31">
        <v>46177</v>
      </c>
      <c r="F29" s="30">
        <v>65</v>
      </c>
      <c r="G29" s="24" t="str">
        <f t="shared" si="0"/>
        <v>FAIL</v>
      </c>
      <c r="H29" s="30">
        <v>80</v>
      </c>
      <c r="I29" s="24" t="str">
        <f t="shared" si="1"/>
        <v>PASS</v>
      </c>
      <c r="J29" s="30">
        <v>95</v>
      </c>
      <c r="K29" s="24" t="str">
        <f t="shared" si="2"/>
        <v>PASS</v>
      </c>
      <c r="L29" s="30">
        <v>45</v>
      </c>
      <c r="M29" s="24" t="str">
        <f t="shared" si="3"/>
        <v>PASS</v>
      </c>
      <c r="N29" s="29">
        <f t="shared" si="4"/>
        <v>285</v>
      </c>
      <c r="O29" s="24" t="str">
        <f t="shared" si="5"/>
        <v>PASS</v>
      </c>
      <c r="P29" s="32">
        <f t="shared" si="6"/>
        <v>81.428571428571431</v>
      </c>
    </row>
  </sheetData>
  <conditionalFormatting sqref="C14:C29">
    <cfRule type="duplicateValues" dxfId="2" priority="17"/>
  </conditionalFormatting>
  <conditionalFormatting sqref="E14:E29">
    <cfRule type="cellIs" dxfId="1" priority="1" operator="equal">
      <formula>"Fail"</formula>
    </cfRule>
  </conditionalFormatting>
  <conditionalFormatting sqref="N14:N29">
    <cfRule type="cellIs" dxfId="0" priority="6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showGridLines="0" zoomScaleNormal="100" workbookViewId="0">
      <selection activeCell="B54" sqref="B54:G55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36" t="s">
        <v>9</v>
      </c>
      <c r="B1" s="36"/>
      <c r="C1" s="36"/>
      <c r="D1" s="36"/>
      <c r="E1" s="36"/>
      <c r="F1" s="36"/>
      <c r="G1" s="36"/>
    </row>
    <row r="2" spans="1:7" x14ac:dyDescent="0.35">
      <c r="A2" s="37" t="s">
        <v>10</v>
      </c>
      <c r="B2" s="37"/>
      <c r="C2" s="37"/>
      <c r="D2" s="37"/>
      <c r="E2" s="37"/>
      <c r="F2" s="37"/>
      <c r="G2" s="37"/>
    </row>
    <row r="3" spans="1:7" x14ac:dyDescent="0.35">
      <c r="A3" s="2" t="s">
        <v>11</v>
      </c>
      <c r="B3" s="38" t="str">
        <f>score_sheet!B10</f>
        <v>BVoC050120260117</v>
      </c>
      <c r="C3" s="39"/>
      <c r="D3" s="39"/>
      <c r="E3" s="39"/>
      <c r="F3" s="39"/>
      <c r="G3" s="40"/>
    </row>
    <row r="4" spans="1:7" ht="26.5" x14ac:dyDescent="0.35">
      <c r="A4" s="3" t="s">
        <v>12</v>
      </c>
      <c r="B4" s="41" t="str">
        <f>score_sheet!B6</f>
        <v>B.VOC</v>
      </c>
      <c r="C4" s="42"/>
      <c r="D4" s="3" t="s">
        <v>13</v>
      </c>
      <c r="E4" s="43">
        <v>0.7</v>
      </c>
      <c r="F4" s="44"/>
      <c r="G4" s="42"/>
    </row>
    <row r="5" spans="1:7" x14ac:dyDescent="0.35">
      <c r="A5" s="4" t="s">
        <v>7</v>
      </c>
      <c r="B5" s="45">
        <f>score_sheet!E14</f>
        <v>46177</v>
      </c>
      <c r="C5" s="46"/>
      <c r="D5" s="46"/>
      <c r="E5" s="46"/>
      <c r="F5" s="46"/>
      <c r="G5" s="47"/>
    </row>
    <row r="6" spans="1:7" x14ac:dyDescent="0.35">
      <c r="A6" s="5" t="s">
        <v>14</v>
      </c>
      <c r="B6" s="6" t="str">
        <f>score_sheet!B3</f>
        <v>Software Developer-IT Services</v>
      </c>
      <c r="C6" s="20"/>
      <c r="D6" s="21"/>
      <c r="E6" s="21"/>
      <c r="F6" s="21"/>
      <c r="G6" s="22"/>
    </row>
    <row r="7" spans="1:7" ht="14.5" customHeight="1" x14ac:dyDescent="0.35">
      <c r="A7" s="48" t="s">
        <v>15</v>
      </c>
      <c r="C7" s="5" t="s">
        <v>16</v>
      </c>
      <c r="D7" s="54" t="s">
        <v>25</v>
      </c>
      <c r="E7" s="55"/>
      <c r="F7" s="10" t="s">
        <v>26</v>
      </c>
      <c r="G7" s="10" t="s">
        <v>27</v>
      </c>
    </row>
    <row r="8" spans="1:7" x14ac:dyDescent="0.35">
      <c r="A8" s="49"/>
      <c r="B8" s="7" t="s">
        <v>17</v>
      </c>
      <c r="C8" s="8">
        <f>COUNT(score_sheet!P14:P29)</f>
        <v>16</v>
      </c>
      <c r="D8" s="56"/>
      <c r="E8" s="57"/>
      <c r="F8" s="15">
        <f>COUNTIF(score_sheet!D14:D29,"M")</f>
        <v>4</v>
      </c>
      <c r="G8" s="15">
        <f>COUNTIF(score_sheet!D14:D29,"F")</f>
        <v>12</v>
      </c>
    </row>
    <row r="9" spans="1:7" x14ac:dyDescent="0.35">
      <c r="A9" s="49"/>
      <c r="B9" s="7" t="s">
        <v>18</v>
      </c>
      <c r="C9" s="8">
        <f>COUNTIF(score_sheet!O14:O29,"PASS")+COUNTIF(score_sheet!O14:O29,"FAIL")</f>
        <v>16</v>
      </c>
      <c r="D9" s="56"/>
      <c r="E9" s="57"/>
      <c r="F9" s="15">
        <f>COUNTIFS(score_sheet!$D$14:$D$29,"M",score_sheet!$O$14:$O$29,"PASS")+COUNTIFS(score_sheet!$D$14:$D$29,"M",score_sheet!$O$14:$O$29,"FAIL")</f>
        <v>4</v>
      </c>
      <c r="G9" s="15">
        <f>COUNTIFS(score_sheet!$D$14:$D$29,"F",score_sheet!$O$14:$O$29,"PASS")+COUNTIFS(score_sheet!$D$14:$D$29,"F",score_sheet!$O$14:$O$29,"FAIL")</f>
        <v>12</v>
      </c>
    </row>
    <row r="10" spans="1:7" x14ac:dyDescent="0.35">
      <c r="A10" s="50"/>
      <c r="B10" s="7" t="s">
        <v>19</v>
      </c>
      <c r="C10" s="8">
        <f>COUNTIF(score_sheet!O14:O29,"PASS")</f>
        <v>12</v>
      </c>
      <c r="D10" s="58"/>
      <c r="E10" s="59"/>
      <c r="F10" s="15">
        <f>COUNTIFS(score_sheet!$D$14:$D$29,"M",score_sheet!$O$14:$O$29,"PASS")</f>
        <v>4</v>
      </c>
      <c r="G10" s="15">
        <f>COUNTIFS(score_sheet!$D$14:$D$29,"F",score_sheet!$O$14:$O$29,"PASS")</f>
        <v>8</v>
      </c>
    </row>
    <row r="11" spans="1:7" x14ac:dyDescent="0.35">
      <c r="A11" s="37" t="s">
        <v>20</v>
      </c>
      <c r="B11" s="37"/>
      <c r="C11" s="37"/>
      <c r="D11" s="37"/>
      <c r="E11" s="37"/>
      <c r="F11" s="37"/>
      <c r="G11" s="37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47</v>
      </c>
      <c r="B13" s="11">
        <f>$C$10/$C$9*100</f>
        <v>75</v>
      </c>
      <c r="C13" s="16">
        <f>AVERAGE(score_sheet!F$14:F$29)</f>
        <v>66.5625</v>
      </c>
      <c r="D13" s="16">
        <f>MIN(score_sheet!F$14:F$29)</f>
        <v>10</v>
      </c>
      <c r="E13" s="17">
        <f>MAX(score_sheet!F$14:F$29)</f>
        <v>90</v>
      </c>
      <c r="F13" s="18">
        <f>MEDIAN(score_sheet!F$14:F$29)</f>
        <v>82.5</v>
      </c>
      <c r="G13" s="17">
        <f>STDEVP(score_sheet!F$14:F$29)</f>
        <v>28.598445652692387</v>
      </c>
    </row>
    <row r="14" spans="1:7" x14ac:dyDescent="0.35">
      <c r="A14" s="1" t="s">
        <v>48</v>
      </c>
      <c r="B14" s="11">
        <f t="shared" ref="B14:B16" si="0">$C$10/$C$9*100</f>
        <v>75</v>
      </c>
      <c r="C14" s="16">
        <f>AVERAGE(score_sheet!H$14:H$29)</f>
        <v>68.125</v>
      </c>
      <c r="D14" s="16">
        <f>MIN(score_sheet!H$14:H$29)</f>
        <v>30</v>
      </c>
      <c r="E14" s="17">
        <f>MAX(score_sheet!H$14:H$29)</f>
        <v>90</v>
      </c>
      <c r="F14" s="18">
        <f>MEDIAN(score_sheet!H$14:H$29)</f>
        <v>70</v>
      </c>
      <c r="G14" s="17">
        <f>STDEVP(score_sheet!H$14:H$29)</f>
        <v>16.571341979453564</v>
      </c>
    </row>
    <row r="15" spans="1:7" x14ac:dyDescent="0.35">
      <c r="A15" s="1" t="s">
        <v>49</v>
      </c>
      <c r="B15" s="11">
        <f t="shared" si="0"/>
        <v>75</v>
      </c>
      <c r="C15" s="16">
        <f>AVERAGE(score_sheet!J$14:J$29)</f>
        <v>67.8125</v>
      </c>
      <c r="D15" s="16">
        <f>MIN(score_sheet!J$14:J$29)</f>
        <v>30</v>
      </c>
      <c r="E15" s="17">
        <f>MAX(score_sheet!J$14:J$29)</f>
        <v>95</v>
      </c>
      <c r="F15" s="18">
        <f>MEDIAN(score_sheet!J$14:J$29)</f>
        <v>75</v>
      </c>
      <c r="G15" s="17">
        <f>STDEVP(score_sheet!J$14:J$29)</f>
        <v>20.764208237975268</v>
      </c>
    </row>
    <row r="16" spans="1:7" x14ac:dyDescent="0.35">
      <c r="A16" s="23" t="s">
        <v>50</v>
      </c>
      <c r="B16" s="11">
        <f t="shared" si="0"/>
        <v>75</v>
      </c>
      <c r="C16" s="16">
        <f>AVERAGE(score_sheet!L$14:L$29)</f>
        <v>38.3125</v>
      </c>
      <c r="D16" s="16">
        <f>MIN(score_sheet!L$14:FH$29)</f>
        <v>25</v>
      </c>
      <c r="E16" s="17">
        <f>MAX(score_sheet!L$14:L$29)</f>
        <v>48</v>
      </c>
      <c r="F16" s="18">
        <f>MEDIAN(score_sheet!L$14:L$29)</f>
        <v>39</v>
      </c>
      <c r="G16" s="17">
        <f>STDEVP(score_sheet!L$14:L$29)</f>
        <v>7.0862432748248203</v>
      </c>
    </row>
    <row r="17" spans="1:7" x14ac:dyDescent="0.35">
      <c r="A17" s="37" t="s">
        <v>22</v>
      </c>
      <c r="B17" s="37"/>
      <c r="C17" s="37"/>
      <c r="D17" s="37"/>
      <c r="E17" s="37"/>
      <c r="F17" s="37"/>
      <c r="G17" s="37"/>
    </row>
    <row r="18" spans="1:7" x14ac:dyDescent="0.35">
      <c r="A18" s="12"/>
      <c r="B18" s="13">
        <v>1</v>
      </c>
      <c r="C18" s="13">
        <v>2</v>
      </c>
      <c r="D18" s="13">
        <v>3</v>
      </c>
      <c r="E18" s="13">
        <v>4</v>
      </c>
      <c r="F18" s="13">
        <v>5</v>
      </c>
      <c r="G18" s="13">
        <v>6</v>
      </c>
    </row>
    <row r="19" spans="1:7" x14ac:dyDescent="0.35">
      <c r="A19" s="51" t="s">
        <v>47</v>
      </c>
      <c r="B19" s="33" t="s">
        <v>91</v>
      </c>
      <c r="C19" s="33" t="s">
        <v>92</v>
      </c>
      <c r="D19" s="19"/>
      <c r="E19" s="19"/>
      <c r="F19" s="19"/>
      <c r="G19" s="19"/>
    </row>
    <row r="20" spans="1:7" x14ac:dyDescent="0.35">
      <c r="A20" s="52"/>
      <c r="B20" s="19"/>
      <c r="C20" s="19"/>
      <c r="D20" s="19"/>
      <c r="E20" s="19"/>
      <c r="F20" s="19"/>
      <c r="G20" s="19"/>
    </row>
    <row r="21" spans="1:7" x14ac:dyDescent="0.35">
      <c r="A21" s="53"/>
      <c r="B21" s="19"/>
      <c r="C21" s="19"/>
      <c r="D21" s="19"/>
      <c r="E21" s="19"/>
      <c r="F21" s="19"/>
      <c r="G21" s="19"/>
    </row>
    <row r="22" spans="1:7" x14ac:dyDescent="0.35">
      <c r="A22" s="51" t="s">
        <v>48</v>
      </c>
      <c r="B22" s="33" t="s">
        <v>91</v>
      </c>
      <c r="C22" s="33" t="s">
        <v>92</v>
      </c>
      <c r="D22" s="19"/>
      <c r="E22" s="19"/>
      <c r="F22" s="19"/>
      <c r="G22" s="19"/>
    </row>
    <row r="23" spans="1:7" x14ac:dyDescent="0.35">
      <c r="A23" s="52"/>
      <c r="B23" s="19"/>
      <c r="C23" s="19"/>
      <c r="D23" s="19"/>
      <c r="E23" s="19"/>
      <c r="F23" s="19"/>
      <c r="G23" s="19"/>
    </row>
    <row r="24" spans="1:7" x14ac:dyDescent="0.35">
      <c r="A24" s="53"/>
      <c r="B24" s="19"/>
      <c r="C24" s="19"/>
      <c r="D24" s="19"/>
      <c r="E24" s="19"/>
      <c r="F24" s="19"/>
      <c r="G24" s="19"/>
    </row>
    <row r="25" spans="1:7" x14ac:dyDescent="0.35">
      <c r="A25" s="51" t="s">
        <v>49</v>
      </c>
      <c r="B25" s="19"/>
      <c r="C25" s="19"/>
      <c r="D25" s="19"/>
      <c r="E25" s="19"/>
      <c r="F25" s="19"/>
      <c r="G25" s="19"/>
    </row>
    <row r="26" spans="1:7" x14ac:dyDescent="0.35">
      <c r="A26" s="52"/>
      <c r="B26" s="19"/>
      <c r="C26" s="19"/>
      <c r="D26" s="19"/>
      <c r="E26" s="19"/>
      <c r="F26" s="19"/>
      <c r="G26" s="19"/>
    </row>
    <row r="27" spans="1:7" x14ac:dyDescent="0.35">
      <c r="A27" s="53"/>
      <c r="B27" s="19"/>
      <c r="C27" s="19"/>
      <c r="D27" s="19"/>
      <c r="E27" s="19"/>
      <c r="F27" s="19"/>
      <c r="G27" s="19"/>
    </row>
    <row r="28" spans="1:7" x14ac:dyDescent="0.35">
      <c r="A28" s="51" t="s">
        <v>50</v>
      </c>
      <c r="B28" s="33" t="s">
        <v>91</v>
      </c>
      <c r="C28" s="33" t="s">
        <v>93</v>
      </c>
      <c r="D28" s="19"/>
      <c r="E28" s="19"/>
      <c r="F28" s="19"/>
      <c r="G28" s="19"/>
    </row>
    <row r="29" spans="1:7" x14ac:dyDescent="0.35">
      <c r="A29" s="52"/>
      <c r="B29" s="19"/>
      <c r="C29" s="19"/>
      <c r="D29" s="19"/>
      <c r="E29" s="19"/>
      <c r="F29" s="19"/>
      <c r="G29" s="19"/>
    </row>
    <row r="30" spans="1:7" x14ac:dyDescent="0.35">
      <c r="A30" s="53"/>
      <c r="B30" s="19"/>
      <c r="C30" s="19"/>
      <c r="D30" s="19"/>
      <c r="E30" s="19"/>
      <c r="F30" s="19"/>
      <c r="G30" s="19"/>
    </row>
    <row r="31" spans="1:7" x14ac:dyDescent="0.35">
      <c r="A31" s="60" t="s">
        <v>37</v>
      </c>
      <c r="B31" s="61"/>
      <c r="C31" s="61"/>
      <c r="D31" s="61"/>
      <c r="E31" s="61"/>
      <c r="F31" s="61"/>
      <c r="G31" s="62"/>
    </row>
    <row r="32" spans="1:7" x14ac:dyDescent="0.35">
      <c r="A32" s="51" t="s">
        <v>47</v>
      </c>
      <c r="B32" s="33" t="s">
        <v>94</v>
      </c>
      <c r="C32" s="19"/>
      <c r="D32" s="19"/>
      <c r="E32" s="19"/>
      <c r="F32" s="19"/>
      <c r="G32" s="19"/>
    </row>
    <row r="33" spans="1:7" x14ac:dyDescent="0.35">
      <c r="A33" s="52"/>
      <c r="B33" s="19"/>
      <c r="C33" s="19"/>
      <c r="D33" s="19"/>
      <c r="E33" s="19"/>
      <c r="F33" s="19"/>
      <c r="G33" s="19"/>
    </row>
    <row r="34" spans="1:7" x14ac:dyDescent="0.35">
      <c r="A34" s="53"/>
      <c r="B34" s="19"/>
      <c r="C34" s="19"/>
      <c r="D34" s="19"/>
      <c r="E34" s="19"/>
      <c r="F34" s="19"/>
      <c r="G34" s="19"/>
    </row>
    <row r="35" spans="1:7" x14ac:dyDescent="0.35">
      <c r="A35" s="51" t="s">
        <v>48</v>
      </c>
      <c r="B35" s="33" t="s">
        <v>95</v>
      </c>
      <c r="C35" s="33" t="s">
        <v>94</v>
      </c>
      <c r="D35" s="33" t="s">
        <v>96</v>
      </c>
      <c r="E35" s="33" t="s">
        <v>93</v>
      </c>
      <c r="F35" s="19"/>
      <c r="G35" s="19"/>
    </row>
    <row r="36" spans="1:7" x14ac:dyDescent="0.35">
      <c r="A36" s="52"/>
      <c r="B36" s="19"/>
      <c r="C36" s="19"/>
      <c r="D36" s="19"/>
      <c r="E36" s="19"/>
      <c r="F36" s="19"/>
      <c r="G36" s="19"/>
    </row>
    <row r="37" spans="1:7" x14ac:dyDescent="0.35">
      <c r="A37" s="53"/>
      <c r="B37" s="19"/>
      <c r="C37" s="19"/>
      <c r="D37" s="19"/>
      <c r="E37" s="19"/>
      <c r="F37" s="19"/>
      <c r="G37" s="19"/>
    </row>
    <row r="38" spans="1:7" x14ac:dyDescent="0.35">
      <c r="A38" s="51" t="s">
        <v>49</v>
      </c>
      <c r="B38" s="33" t="s">
        <v>91</v>
      </c>
      <c r="C38" s="33" t="s">
        <v>92</v>
      </c>
      <c r="D38" s="33" t="s">
        <v>94</v>
      </c>
      <c r="E38" s="33" t="s">
        <v>96</v>
      </c>
      <c r="F38" s="33" t="s">
        <v>97</v>
      </c>
      <c r="G38" s="19"/>
    </row>
    <row r="39" spans="1:7" x14ac:dyDescent="0.35">
      <c r="A39" s="52"/>
      <c r="B39" s="19"/>
      <c r="C39" s="19"/>
      <c r="D39" s="19"/>
      <c r="E39" s="19"/>
      <c r="F39" s="19"/>
      <c r="G39" s="19"/>
    </row>
    <row r="40" spans="1:7" x14ac:dyDescent="0.35">
      <c r="A40" s="53"/>
      <c r="B40" s="19"/>
      <c r="C40" s="19"/>
      <c r="D40" s="19"/>
      <c r="E40" s="19"/>
      <c r="F40" s="19"/>
      <c r="G40" s="19"/>
    </row>
    <row r="41" spans="1:7" x14ac:dyDescent="0.35">
      <c r="A41" s="51" t="s">
        <v>50</v>
      </c>
      <c r="B41" s="33" t="s">
        <v>95</v>
      </c>
      <c r="C41" s="33" t="s">
        <v>98</v>
      </c>
      <c r="D41" s="19"/>
      <c r="E41" s="19"/>
      <c r="F41" s="19"/>
      <c r="G41" s="19"/>
    </row>
    <row r="42" spans="1:7" x14ac:dyDescent="0.35">
      <c r="A42" s="52"/>
      <c r="B42" s="19"/>
      <c r="C42" s="19"/>
      <c r="D42" s="19"/>
      <c r="E42" s="19"/>
      <c r="F42" s="19"/>
      <c r="G42" s="19"/>
    </row>
    <row r="43" spans="1:7" x14ac:dyDescent="0.35">
      <c r="A43" s="53"/>
      <c r="B43" s="19"/>
      <c r="C43" s="19"/>
      <c r="D43" s="19"/>
      <c r="E43" s="19"/>
      <c r="F43" s="19"/>
      <c r="G43" s="19"/>
    </row>
    <row r="44" spans="1:7" x14ac:dyDescent="0.35">
      <c r="A44" s="60" t="s">
        <v>23</v>
      </c>
      <c r="B44" s="61"/>
      <c r="C44" s="61"/>
      <c r="D44" s="61"/>
      <c r="E44" s="61"/>
      <c r="F44" s="61"/>
      <c r="G44" s="62"/>
    </row>
    <row r="45" spans="1:7" x14ac:dyDescent="0.35">
      <c r="A45" s="51" t="s">
        <v>47</v>
      </c>
      <c r="B45" s="33" t="s">
        <v>97</v>
      </c>
      <c r="C45" s="33" t="s">
        <v>99</v>
      </c>
      <c r="D45" s="33" t="s">
        <v>96</v>
      </c>
      <c r="E45" s="33" t="s">
        <v>100</v>
      </c>
      <c r="F45" s="19"/>
      <c r="G45" s="19"/>
    </row>
    <row r="46" spans="1:7" x14ac:dyDescent="0.35">
      <c r="A46" s="52"/>
      <c r="B46" s="19"/>
      <c r="C46" s="19"/>
      <c r="D46" s="19"/>
      <c r="E46" s="19"/>
      <c r="F46" s="19"/>
      <c r="G46" s="19"/>
    </row>
    <row r="47" spans="1:7" x14ac:dyDescent="0.35">
      <c r="A47" s="53"/>
      <c r="B47" s="19"/>
      <c r="C47" s="19"/>
      <c r="D47" s="19"/>
      <c r="E47" s="19"/>
      <c r="F47" s="19"/>
      <c r="G47" s="19"/>
    </row>
    <row r="48" spans="1:7" ht="15" customHeight="1" x14ac:dyDescent="0.35">
      <c r="A48" s="51" t="s">
        <v>48</v>
      </c>
      <c r="B48" s="33" t="s">
        <v>99</v>
      </c>
      <c r="C48" s="33" t="s">
        <v>101</v>
      </c>
      <c r="D48" s="33" t="s">
        <v>97</v>
      </c>
      <c r="E48" s="33" t="s">
        <v>100</v>
      </c>
      <c r="F48" s="33" t="s">
        <v>102</v>
      </c>
      <c r="G48" s="33" t="s">
        <v>98</v>
      </c>
    </row>
    <row r="49" spans="1:7" x14ac:dyDescent="0.35">
      <c r="A49" s="52"/>
      <c r="B49" s="19"/>
      <c r="C49" s="19"/>
      <c r="D49" s="19"/>
      <c r="E49" s="19"/>
      <c r="F49" s="19"/>
      <c r="G49" s="19"/>
    </row>
    <row r="50" spans="1:7" x14ac:dyDescent="0.35">
      <c r="A50" s="53"/>
      <c r="B50" s="19"/>
      <c r="C50" s="19"/>
      <c r="D50" s="19"/>
      <c r="E50" s="19"/>
      <c r="F50" s="19"/>
      <c r="G50" s="19"/>
    </row>
    <row r="51" spans="1:7" x14ac:dyDescent="0.35">
      <c r="A51" s="51" t="s">
        <v>49</v>
      </c>
      <c r="B51" s="33" t="s">
        <v>99</v>
      </c>
      <c r="C51" s="19"/>
      <c r="D51" s="19"/>
      <c r="E51" s="19"/>
      <c r="F51" s="19"/>
      <c r="G51" s="19"/>
    </row>
    <row r="52" spans="1:7" x14ac:dyDescent="0.35">
      <c r="A52" s="52"/>
      <c r="B52" s="19"/>
      <c r="C52" s="19"/>
      <c r="D52" s="19"/>
      <c r="E52" s="19"/>
      <c r="F52" s="19"/>
      <c r="G52" s="19"/>
    </row>
    <row r="53" spans="1:7" x14ac:dyDescent="0.35">
      <c r="A53" s="53"/>
      <c r="B53" s="19"/>
      <c r="C53" s="19"/>
      <c r="D53" s="19"/>
      <c r="E53" s="19"/>
      <c r="F53" s="19"/>
      <c r="G53" s="19"/>
    </row>
    <row r="54" spans="1:7" x14ac:dyDescent="0.35">
      <c r="A54" s="51" t="s">
        <v>50</v>
      </c>
      <c r="B54" s="34" t="s">
        <v>92</v>
      </c>
      <c r="C54" s="34" t="s">
        <v>94</v>
      </c>
      <c r="D54" s="34" t="s">
        <v>97</v>
      </c>
      <c r="E54" s="34" t="s">
        <v>99</v>
      </c>
      <c r="F54" s="34" t="s">
        <v>96</v>
      </c>
      <c r="G54" s="34" t="s">
        <v>100</v>
      </c>
    </row>
    <row r="55" spans="1:7" x14ac:dyDescent="0.35">
      <c r="A55" s="52"/>
      <c r="B55" s="34" t="s">
        <v>101</v>
      </c>
      <c r="C55" s="34" t="s">
        <v>102</v>
      </c>
      <c r="D55" s="35"/>
      <c r="E55" s="35"/>
      <c r="F55" s="35"/>
      <c r="G55" s="35"/>
    </row>
    <row r="56" spans="1:7" x14ac:dyDescent="0.35">
      <c r="A56" s="53"/>
      <c r="B56" s="19"/>
      <c r="C56" s="19"/>
      <c r="D56" s="19"/>
      <c r="E56" s="19"/>
      <c r="F56" s="19"/>
      <c r="G56" s="19"/>
    </row>
  </sheetData>
  <mergeCells count="24">
    <mergeCell ref="A22:A24"/>
    <mergeCell ref="A25:A27"/>
    <mergeCell ref="A51:A53"/>
    <mergeCell ref="A54:A56"/>
    <mergeCell ref="A44:G44"/>
    <mergeCell ref="A45:A47"/>
    <mergeCell ref="A48:A50"/>
    <mergeCell ref="A28:A30"/>
    <mergeCell ref="A32:A34"/>
    <mergeCell ref="A35:A37"/>
    <mergeCell ref="A38:A40"/>
    <mergeCell ref="A41:A43"/>
    <mergeCell ref="A31:G31"/>
    <mergeCell ref="B5:G5"/>
    <mergeCell ref="A7:A10"/>
    <mergeCell ref="A11:G11"/>
    <mergeCell ref="A17:G17"/>
    <mergeCell ref="A19:A21"/>
    <mergeCell ref="D7:E10"/>
    <mergeCell ref="A1:G1"/>
    <mergeCell ref="A2:G2"/>
    <mergeCell ref="B3:G3"/>
    <mergeCell ref="B4:C4"/>
    <mergeCell ref="E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 t="str">
        <f>score_sheet!B10</f>
        <v>BVoC050120260117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2026-06-06T08:39:42Z</dcterms:modified>
</cp:coreProperties>
</file>