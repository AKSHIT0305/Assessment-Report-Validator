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<sst xmlns="http://schemas.openxmlformats.org/spreadsheetml/2006/main" count="126" uniqueCount="74">
  <si>
    <t xml:space="preserve">Assessment Agency Name</t>
  </si>
  <si>
    <t xml:space="preserve">Ginger Webs Pvt. Ltd.</t>
  </si>
  <si>
    <t xml:space="preserve">Training Provider Name</t>
  </si>
  <si>
    <t xml:space="preserve">Next Education India Private Limited</t>
  </si>
  <si>
    <t xml:space="preserve">Qualification Pack Name/Job Role</t>
  </si>
  <si>
    <t xml:space="preserve">Engineer - Technical Support (Level 1)</t>
  </si>
  <si>
    <t xml:space="preserve">Qualification Code</t>
  </si>
  <si>
    <t xml:space="preserve">SSC/Q0101</t>
  </si>
  <si>
    <t xml:space="preserve">Assessor Name/AR ID</t>
  </si>
  <si>
    <t xml:space="preserve">A-0163DB &amp; Pankaj Kumar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</si>
  <si>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</si>
  <si>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</si>
  <si>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</si>
  <si>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</si>
  <si>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</si>
  <si>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</si>
  <si>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</si>
  <si>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</si>
  <si>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APPR010120260085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</si>
  <si>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</si>
  <si>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</si>
  <si>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</si>
  <si>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</si>
  <si>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SSC/N0101 - Score</t>
  </si>
  <si>
    <t xml:space="preserve">Pass/Fail</t>
  </si>
  <si>
    <t xml:space="preserve">SSC/N0202 - Score</t>
  </si>
  <si>
    <t xml:space="preserve">SSC/N9014. - Score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</si>
  <si>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</si>
  <si>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</si>
  <si>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</si>
  <si>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</si>
  <si>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Mule Vyshnavi</t>
  </si>
  <si>
    <t xml:space="preserve">CN052514966</t>
  </si>
  <si>
    <t xml:space="preserve">-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</si>
  <si>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</si>
  <si>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</si>
  <si>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</si>
  <si>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</si>
  <si>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</si>
  <si>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</si>
  <si>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</si>
  <si>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</si>
  <si>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</si>
  <si>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</si>
  <si>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</si>
  <si>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</si>
  <si>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</si>
  <si>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</si>
  <si>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</si>
  <si>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</si>
  <si>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</si>
  <si>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</si>
  <si>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</si>
  <si>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</si>
  <si>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SSC/N0101</t>
  </si>
  <si>
    <t xml:space="preserve">SSC/N0202</t>
  </si>
  <si>
    <t xml:space="preserve">SSC/N9014</t>
  </si>
  <si>
    <t xml:space="preserve">DGT/VSQ/N0102</t>
  </si>
  <si>
    <t xml:space="preserve">WEAK PCs (AVERAGE SCORE LESS THAN 50%)</t>
  </si>
  <si>
    <t xml:space="preserve">PC1</t>
  </si>
  <si>
    <t xml:space="preserve">PC3</t>
  </si>
  <si>
    <t xml:space="preserve">PC7</t>
  </si>
  <si>
    <t xml:space="preserve">PC8</t>
  </si>
  <si>
    <t xml:space="preserve">PC9</t>
  </si>
  <si>
    <t xml:space="preserve">PC11</t>
  </si>
  <si>
    <t xml:space="preserve">PC2</t>
  </si>
  <si>
    <t xml:space="preserve">PC4</t>
  </si>
  <si>
    <t xml:space="preserve">PC5</t>
  </si>
  <si>
    <t xml:space="preserve">PC6</t>
  </si>
  <si>
    <t xml:space="preserve">PC10</t>
  </si>
  <si>
    <t xml:space="preserve">PC12</t>
  </si>
  <si>
    <t xml:space="preserve">PC13</t>
  </si>
  <si>
    <t xml:space="preserve">Moderately weak PCs (AVERAGE SCORE BETWEEN 50-70%)</t>
  </si>
  <si>
    <t xml:space="preserve">STRONG PCs (AVERAGE SCORE MORE THAN 70%)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</si>
</sst>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219"/>
        <c:overlap val="-27"/>
        <c:axId val="58518625"/>
        <c:axId val="61069675"/>
      </c:barChart>
      <c:catAx>
        <c:axId val="585186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69675"/>
        <c:auto val="1"/>
        <c:lblAlgn val="ctr"/>
        <c:lblOffset val="100"/>
        <c:noMultiLvlLbl val="0"/>
      </c:catAx>
      <c:valAx>
        <c:axId val="6106967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5186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74550251859"/>
          <c:y val="0.128394443749218"/>
          <c:w val="0.905349004557448"/>
          <c:h val="0.552246277061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Tabular'!$B$13:$B$16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Tabular'!$D$13:$D$16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Tabular'!$E$13:$E$16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Tabular'!$F$13:$F$16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SSC/N0101</c:v>
                </c:pt>
                <c:pt idx="1">
                  <c:v>SSC/N0202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Tabular'!$G$13:$G$16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9594261"/>
        <c:axId val="2634132"/>
      </c:barChart>
      <c:catAx>
        <c:axId val="195942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34132"/>
        <c:crosses val="autoZero"/>
        <c:auto val="1"/>
        <c:lblAlgn val="ctr"/>
        <c:lblOffset val="100"/>
        <c:noMultiLvlLbl val="0"/>
      </c:catAx>
      <c:valAx>
        <c:axId val="263413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5942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42594134"/>
        <c:axId val="96540252"/>
      </c:barChart>
      <c:catAx>
        <c:axId val="425941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540252"/>
        <c:crosses val="autoZero"/>
        <c:auto val="1"/>
        <c:lblAlgn val="ctr"/>
        <c:lblOffset val="100"/>
        <c:noMultiLvlLbl val="0"/>
      </c:catAx>
      <c:valAx>
        <c:axId val="965402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5941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325080</xdr:colOff>
      <xdr:row>17</xdr:row>
      <xdr:rowOff>94680</xdr:rowOff>
    </xdr:to>
    <xdr:graphicFrame>
      <xdr:nvGraphicFramePr>
        <xdr:cNvPr id="0" name="Chart 1"/>
        <xdr:cNvGraphicFramePr/>
      </xdr:nvGraphicFramePr>
      <xdr:xfrm>
        <a:off x="192240" y="466560"/>
        <a:ext cx="4413240" cy="28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37800</xdr:colOff>
      <xdr:row>17</xdr:row>
      <xdr:rowOff>104400</xdr:rowOff>
    </xdr:to>
    <xdr:graphicFrame>
      <xdr:nvGraphicFramePr>
        <xdr:cNvPr id="1" name="Chart 2"/>
        <xdr:cNvGraphicFramePr/>
      </xdr:nvGraphicFramePr>
      <xdr:xfrm>
        <a:off x="4764240" y="466560"/>
        <a:ext cx="750384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597960</xdr:colOff>
      <xdr:row>17</xdr:row>
      <xdr:rowOff>47160</xdr:rowOff>
    </xdr:to>
    <xdr:graphicFrame>
      <xdr:nvGraphicFramePr>
        <xdr:cNvPr id="2" name="Chart 3"/>
        <xdr:cNvGraphicFramePr/>
      </xdr:nvGraphicFramePr>
      <xdr:xfrm>
        <a:off x="12523680" y="428400"/>
        <a:ext cx="4584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6" activeCellId="0" sqref="E6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6.29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9"/>
    <col collapsed="false" customWidth="true" hidden="false" outlineLevel="0" max="6" min="6" style="1" width="13.71"/>
    <col collapsed="false" customWidth="true" hidden="false" outlineLevel="0" max="15" min="7" style="1" width="13.15"/>
    <col collapsed="false" customWidth="false" hidden="false" outlineLevel="0" max="16384" min="16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2" t="s">
        <v>18</v>
      </c>
    </row>
    <row r="11" customFormat="false" ht="13.8" hidden="false" customHeight="false" outlineLevel="0" collapsed="false">
      <c r="A11" s="3"/>
      <c r="B11" s="3"/>
    </row>
    <row r="13" customFormat="false" ht="24.85" hidden="false" customHeight="false" outlineLevel="0" collapsed="false">
      <c r="A13" s="4" t="s">
        <v>17</v>
      </c>
      <c r="B13" s="4" t="s">
        <v>19</v>
      </c>
      <c r="C13" s="4" t="s">
        <v>20</v>
      </c>
      <c r="D13" s="4" t="s">
        <v>21</v>
      </c>
      <c r="E13" s="4" t="s">
        <v>22</v>
      </c>
      <c r="F13" s="5" t="s">
        <v>23</v>
      </c>
      <c r="G13" s="5" t="s">
        <v>24</v>
      </c>
      <c r="H13" s="5" t="s">
        <v>25</v>
      </c>
      <c r="I13" s="5" t="s">
        <v>24</v>
      </c>
      <c r="J13" s="5" t="s">
        <v>26</v>
      </c>
      <c r="K13" s="5" t="s">
        <v>24</v>
      </c>
      <c r="L13" s="5" t="s">
        <v>27</v>
      </c>
      <c r="M13" s="5" t="s">
        <v>24</v>
      </c>
      <c r="N13" s="5" t="s">
        <v>28</v>
      </c>
      <c r="O13" s="5" t="s">
        <v>29</v>
      </c>
      <c r="P13" s="5" t="s">
        <v>30</v>
      </c>
    </row>
    <row r="14" customFormat="false" ht="15" hidden="false" customHeight="false" outlineLevel="0" collapsed="false">
      <c r="A14" s="6" t="s">
        <v>18</v>
      </c>
      <c r="B14" s="7" t="s">
        <v>31</v>
      </c>
      <c r="C14" s="7" t="s">
        <v>32</v>
      </c>
      <c r="D14" s="6" t="s">
        <v>33</v>
      </c>
      <c r="E14" s="8" t="n">
        <v>46218</v>
      </c>
      <c r="F14" s="2" t="n">
        <v>0</v>
      </c>
      <c r="G14" s="2" t="str">
        <f aca="false">IF(F14&gt;=70,"PASS",IF(F14&gt;0,"FAIL", "ABSENT"))</f>
        <v>ABSENT</v>
      </c>
      <c r="H14" s="2" t="n">
        <v>0</v>
      </c>
      <c r="I14" s="2" t="str">
        <f aca="false">IF(H14&gt;=70,"PASS",IF(H14&gt;0,"FAIL", "ABSENT"))</f>
        <v>ABSENT</v>
      </c>
      <c r="J14" s="2" t="n">
        <v>0</v>
      </c>
      <c r="K14" s="2" t="str">
        <f aca="false">IF(J14&gt;=70,"PASS",IF(J14&gt;0,"FAIL", "ABSENT"))</f>
        <v>ABSENT</v>
      </c>
      <c r="L14" s="2" t="n">
        <v>0</v>
      </c>
      <c r="M14" s="2" t="str">
        <f aca="false">IF(L14&gt;=35,"PASS",IF(L14&gt;0,"FAIL", "ABSENT"))</f>
        <v>ABSENT</v>
      </c>
      <c r="N14" s="9" t="n">
        <f aca="false">F14+H14+J14+L14</f>
        <v>0</v>
      </c>
      <c r="O14" s="2" t="str">
        <f aca="false">IF(P14&gt;=70,"PASS",IF(P14&gt;0,"FAIL","ABSENT"))</f>
        <v>ABSENT</v>
      </c>
      <c r="P14" s="10" t="n">
        <f aca="false">N14/550*100</f>
        <v>0</v>
      </c>
    </row>
  </sheetData>
  <conditionalFormatting sqref="E14 N14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3" colorId="64" zoomScale="95" zoomScaleNormal="95" zoomScalePageLayoutView="100" workbookViewId="0">
      <selection pane="topLeft" activeCell="J27" activeCellId="0" sqref="J2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3"/>
    <col collapsed="false" customWidth="true" hidden="false" outlineLevel="0" max="5" min="4" style="0" width="10.85"/>
    <col collapsed="false" customWidth="true" hidden="false" outlineLevel="0" max="6" min="6" style="0" width="10.29"/>
    <col collapsed="false" customWidth="true" hidden="false" outlineLevel="0" max="7" min="7" style="0" width="10.42"/>
  </cols>
  <sheetData>
    <row r="1" customFormat="false" ht="14.25" hidden="false" customHeight="true" outlineLevel="0" collapsed="false">
      <c r="A1" s="11" t="s">
        <v>34</v>
      </c>
      <c r="B1" s="11"/>
      <c r="C1" s="11"/>
      <c r="D1" s="11"/>
      <c r="E1" s="11"/>
      <c r="F1" s="11"/>
      <c r="G1" s="11"/>
    </row>
    <row r="2" customFormat="false" ht="14.25" hidden="false" customHeight="false" outlineLevel="0" collapsed="false">
      <c r="A2" s="12" t="s">
        <v>35</v>
      </c>
      <c r="B2" s="12"/>
      <c r="C2" s="12"/>
      <c r="D2" s="12"/>
      <c r="E2" s="12"/>
      <c r="F2" s="12"/>
      <c r="G2" s="12"/>
    </row>
    <row r="3" customFormat="false" ht="14.25" hidden="false" customHeight="false" outlineLevel="0" collapsed="false">
      <c r="A3" s="13" t="s">
        <v>36</v>
      </c>
      <c r="B3" s="14" t="str">
        <f aca="false">score_sheet!B10</f>
        <v>APPR010120260085</v>
      </c>
      <c r="C3" s="14"/>
      <c r="D3" s="14"/>
      <c r="E3" s="14"/>
      <c r="F3" s="14"/>
      <c r="G3" s="14"/>
    </row>
    <row r="4" customFormat="false" ht="26.25" hidden="false" customHeight="false" outlineLevel="0" collapsed="false">
      <c r="A4" s="15" t="s">
        <v>37</v>
      </c>
      <c r="B4" s="16" t="str">
        <f aca="false">score_sheet!B6</f>
        <v>Apprenticeship</v>
      </c>
      <c r="C4" s="16"/>
      <c r="D4" s="15" t="s">
        <v>38</v>
      </c>
      <c r="E4" s="17" t="n">
        <v>0.7</v>
      </c>
      <c r="F4" s="17"/>
      <c r="G4" s="17"/>
    </row>
    <row r="5" customFormat="false" ht="15" hidden="false" customHeight="false" outlineLevel="0" collapsed="false">
      <c r="A5" s="18" t="s">
        <v>22</v>
      </c>
      <c r="B5" s="19" t="n">
        <f aca="false">score_sheet!E14</f>
        <v>46218</v>
      </c>
      <c r="C5" s="19"/>
      <c r="D5" s="19"/>
      <c r="E5" s="19"/>
      <c r="F5" s="19"/>
      <c r="G5" s="19"/>
    </row>
    <row r="6" customFormat="false" ht="15" hidden="false" customHeight="false" outlineLevel="0" collapsed="false">
      <c r="A6" s="20" t="s">
        <v>39</v>
      </c>
      <c r="B6" s="21" t="str">
        <f aca="false">score_sheet!B3</f>
        <v>Engineer - Technical Support (Level 1)</v>
      </c>
      <c r="C6" s="22"/>
      <c r="D6" s="23"/>
      <c r="E6" s="23"/>
      <c r="F6" s="23"/>
      <c r="G6" s="24"/>
    </row>
    <row r="7" customFormat="false" ht="14.25" hidden="false" customHeight="true" outlineLevel="0" collapsed="false">
      <c r="A7" s="13" t="s">
        <v>40</v>
      </c>
      <c r="C7" s="20" t="s">
        <v>28</v>
      </c>
      <c r="D7" s="25" t="s">
        <v>41</v>
      </c>
      <c r="E7" s="25"/>
      <c r="F7" s="11" t="s">
        <v>42</v>
      </c>
      <c r="G7" s="11" t="s">
        <v>43</v>
      </c>
    </row>
    <row r="8" customFormat="false" ht="15" hidden="false" customHeight="false" outlineLevel="0" collapsed="false">
      <c r="A8" s="13"/>
      <c r="B8" s="26" t="s">
        <v>44</v>
      </c>
      <c r="C8" s="27" t="n">
        <f aca="false">COUNT(score_sheet!P14:P14)</f>
        <v>1</v>
      </c>
      <c r="D8" s="25"/>
      <c r="E8" s="25"/>
      <c r="F8" s="28" t="n">
        <f aca="false">COUNTIF(score_sheet!D14:D14,"M")</f>
        <v>0</v>
      </c>
      <c r="G8" s="28" t="n">
        <f aca="false">COUNTIF(score_sheet!D14:D14,"F")</f>
        <v>0</v>
      </c>
    </row>
    <row r="9" customFormat="false" ht="15" hidden="false" customHeight="false" outlineLevel="0" collapsed="false">
      <c r="A9" s="13"/>
      <c r="B9" s="26" t="s">
        <v>45</v>
      </c>
      <c r="C9" s="27" t="n">
        <f aca="false">COUNTIF(score_sheet!O14:O14,"PASS")+COUNTIF(score_sheet!O14:O14,"FAIL")</f>
        <v>0</v>
      </c>
      <c r="D9" s="25"/>
      <c r="E9" s="25"/>
      <c r="F9" s="28" t="n">
        <f aca="false">COUNTIFS(score_sheet!$D$14:$D$14,"M",score_sheet!$O$14:$O$14,"PASS")+COUNTIFS(score_sheet!$D$14:$D$14,"M",score_sheet!$O$14:$O$14,"FAIL")</f>
        <v>0</v>
      </c>
      <c r="G9" s="28" t="n">
        <f aca="false">COUNTIFS(score_sheet!$D$14:$D$14,"F",score_sheet!$O$14:$O$14,"PASS")+COUNTIFS(score_sheet!$D$14:$D$14,"F",score_sheet!$O$14:$O$14,"FAIL")</f>
        <v>0</v>
      </c>
    </row>
    <row r="10" customFormat="false" ht="15" hidden="false" customHeight="false" outlineLevel="0" collapsed="false">
      <c r="A10" s="13"/>
      <c r="B10" s="26" t="s">
        <v>46</v>
      </c>
      <c r="C10" s="27" t="n">
        <f aca="false">COUNTIF(score_sheet!O14:O14,"PASS")</f>
        <v>0</v>
      </c>
      <c r="D10" s="25"/>
      <c r="E10" s="25"/>
      <c r="F10" s="28" t="n">
        <f aca="false">COUNTIFS(score_sheet!$D$14:$D$14,"M",score_sheet!$O$14:$O$14,"PASS")</f>
        <v>0</v>
      </c>
      <c r="G10" s="28" t="n">
        <f aca="false">COUNTIFS(score_sheet!$D$14:$D$14,"F",score_sheet!$O$14:$O$14,"PASS")</f>
        <v>0</v>
      </c>
    </row>
    <row r="11" customFormat="false" ht="14.25" hidden="false" customHeight="false" outlineLevel="0" collapsed="false">
      <c r="A11" s="12" t="s">
        <v>47</v>
      </c>
      <c r="B11" s="12"/>
      <c r="C11" s="12"/>
      <c r="D11" s="12"/>
      <c r="E11" s="12"/>
      <c r="F11" s="12"/>
      <c r="G11" s="12"/>
    </row>
    <row r="12" customFormat="false" ht="39" hidden="false" customHeight="false" outlineLevel="0" collapsed="false">
      <c r="A12" s="29"/>
      <c r="B12" s="11" t="s">
        <v>48</v>
      </c>
      <c r="C12" s="11" t="s">
        <v>49</v>
      </c>
      <c r="D12" s="11" t="s">
        <v>50</v>
      </c>
      <c r="E12" s="11" t="s">
        <v>51</v>
      </c>
      <c r="F12" s="11" t="s">
        <v>52</v>
      </c>
      <c r="G12" s="11" t="s">
        <v>53</v>
      </c>
    </row>
    <row r="13" customFormat="false" ht="15" hidden="false" customHeight="false" outlineLevel="0" collapsed="false">
      <c r="A13" s="30" t="s">
        <v>54</v>
      </c>
      <c r="B13" s="31" t="e">
        <f aca="false">$C$10/$C$9*100</f>
        <v>#DIV/0!</v>
      </c>
      <c r="C13" s="32" t="n">
        <f aca="false">AVERAGE(score_sheet!F$14:F$14)</f>
        <v>0</v>
      </c>
      <c r="D13" s="32" t="n">
        <f aca="false">MIN(score_sheet!F$14:F$14)</f>
        <v>0</v>
      </c>
      <c r="E13" s="33" t="n">
        <f aca="false">MAX(score_sheet!F$14:F$14)</f>
        <v>0</v>
      </c>
      <c r="F13" s="34" t="n">
        <f aca="false">MEDIAN(score_sheet!F$14:F$14)</f>
        <v>0</v>
      </c>
      <c r="G13" s="33" t="n">
        <f aca="false">STDEVP(score_sheet!F$14:F$14)</f>
        <v>0</v>
      </c>
    </row>
    <row r="14" customFormat="false" ht="15" hidden="false" customHeight="false" outlineLevel="0" collapsed="false">
      <c r="A14" s="30" t="s">
        <v>55</v>
      </c>
      <c r="B14" s="31" t="e">
        <f aca="false">$C$10/$C$9*100</f>
        <v>#DIV/0!</v>
      </c>
      <c r="C14" s="32" t="n">
        <f aca="false">AVERAGE(score_sheet!H$14:H$14)</f>
        <v>0</v>
      </c>
      <c r="D14" s="32" t="n">
        <f aca="false">MIN(score_sheet!H$14:H$14)</f>
        <v>0</v>
      </c>
      <c r="E14" s="33" t="n">
        <f aca="false">MAX(score_sheet!H$14:H$14)</f>
        <v>0</v>
      </c>
      <c r="F14" s="34" t="n">
        <f aca="false">MEDIAN(score_sheet!H$14:H$14)</f>
        <v>0</v>
      </c>
      <c r="G14" s="33" t="n">
        <f aca="false">STDEVP(score_sheet!H$14:H$14)</f>
        <v>0</v>
      </c>
    </row>
    <row r="15" customFormat="false" ht="15" hidden="false" customHeight="false" outlineLevel="0" collapsed="false">
      <c r="A15" s="30" t="s">
        <v>56</v>
      </c>
      <c r="B15" s="31" t="e">
        <f aca="false">$C$10/$C$9*100</f>
        <v>#DIV/0!</v>
      </c>
      <c r="C15" s="32" t="n">
        <f aca="false">AVERAGE(score_sheet!J$14:J$14)</f>
        <v>0</v>
      </c>
      <c r="D15" s="32" t="n">
        <f aca="false">MIN(score_sheet!J$14:J$14)</f>
        <v>0</v>
      </c>
      <c r="E15" s="33" t="n">
        <f aca="false">MAX(score_sheet!J$14:J$14)</f>
        <v>0</v>
      </c>
      <c r="F15" s="34" t="n">
        <f aca="false">MEDIAN(score_sheet!J$14:J$14)</f>
        <v>0</v>
      </c>
      <c r="G15" s="33" t="n">
        <f aca="false">STDEVP(score_sheet!J$14:J$14)</f>
        <v>0</v>
      </c>
    </row>
    <row r="16" customFormat="false" ht="15" hidden="false" customHeight="false" outlineLevel="0" collapsed="false">
      <c r="A16" s="35" t="s">
        <v>57</v>
      </c>
      <c r="B16" s="31" t="e">
        <f aca="false">$C$10/$C$9*100</f>
        <v>#DIV/0!</v>
      </c>
      <c r="C16" s="32" t="n">
        <f aca="false">AVERAGE(score_sheet!L$14:L$14)</f>
        <v>0</v>
      </c>
      <c r="D16" s="32" t="n">
        <f aca="false">MIN(score_sheet!L$14:FH$14)</f>
        <v>0</v>
      </c>
      <c r="E16" s="33" t="n">
        <f aca="false">MAX(score_sheet!L$14:L$14)</f>
        <v>0</v>
      </c>
      <c r="F16" s="34" t="n">
        <f aca="false">MEDIAN(score_sheet!L$14:L$14)</f>
        <v>0</v>
      </c>
      <c r="G16" s="33" t="n">
        <f aca="false">STDEVP(score_sheet!L$14:L$14)</f>
        <v>0</v>
      </c>
    </row>
    <row r="17" customFormat="false" ht="15" hidden="false" customHeight="false" outlineLevel="0" collapsed="false">
      <c r="A17" s="12" t="s">
        <v>58</v>
      </c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36"/>
      <c r="B18" s="37" t="n">
        <v>1</v>
      </c>
      <c r="C18" s="37" t="n">
        <v>2</v>
      </c>
      <c r="D18" s="37" t="n">
        <v>3</v>
      </c>
      <c r="E18" s="37" t="n">
        <v>4</v>
      </c>
      <c r="F18" s="37" t="n">
        <v>5</v>
      </c>
      <c r="G18" s="37" t="n">
        <v>6</v>
      </c>
    </row>
    <row r="19" customFormat="false" ht="15.8" hidden="false" customHeight="true" outlineLevel="0" collapsed="false">
      <c r="A19" s="35" t="s">
        <v>54</v>
      </c>
      <c r="B19" s="7" t="s">
        <v>59</v>
      </c>
      <c r="C19" s="7" t="s">
        <v>60</v>
      </c>
      <c r="D19" s="7" t="s">
        <v>61</v>
      </c>
      <c r="E19" s="7" t="s">
        <v>62</v>
      </c>
      <c r="F19" s="7" t="s">
        <v>63</v>
      </c>
      <c r="G19" s="7" t="s">
        <v>64</v>
      </c>
    </row>
    <row r="20" customFormat="false" ht="15.8" hidden="false" customHeight="false" outlineLevel="0" collapsed="false">
      <c r="A20" s="35"/>
      <c r="B20" s="7" t="s">
        <v>65</v>
      </c>
      <c r="C20" s="7" t="s">
        <v>66</v>
      </c>
      <c r="D20" s="7" t="s">
        <v>67</v>
      </c>
      <c r="E20" s="7" t="s">
        <v>68</v>
      </c>
      <c r="F20" s="7" t="s">
        <v>69</v>
      </c>
      <c r="G20" s="7" t="s">
        <v>70</v>
      </c>
    </row>
    <row r="21" customFormat="false" ht="15.8" hidden="false" customHeight="false" outlineLevel="0" collapsed="false">
      <c r="A21" s="35"/>
      <c r="B21" s="7" t="s">
        <v>71</v>
      </c>
      <c r="C21" s="38"/>
      <c r="D21" s="38"/>
      <c r="E21" s="38"/>
      <c r="F21" s="38"/>
      <c r="G21" s="38"/>
    </row>
    <row r="22" customFormat="false" ht="15.8" hidden="false" customHeight="true" outlineLevel="0" collapsed="false">
      <c r="A22" s="35" t="s">
        <v>55</v>
      </c>
      <c r="B22" s="7" t="s">
        <v>66</v>
      </c>
      <c r="C22" s="7" t="s">
        <v>64</v>
      </c>
      <c r="D22" s="7" t="s">
        <v>70</v>
      </c>
      <c r="E22" s="7" t="s">
        <v>59</v>
      </c>
      <c r="F22" s="7" t="s">
        <v>65</v>
      </c>
      <c r="G22" s="7" t="s">
        <v>60</v>
      </c>
    </row>
    <row r="23" customFormat="false" ht="15.8" hidden="false" customHeight="false" outlineLevel="0" collapsed="false">
      <c r="A23" s="35"/>
      <c r="B23" s="7" t="s">
        <v>67</v>
      </c>
      <c r="C23" s="7" t="s">
        <v>68</v>
      </c>
      <c r="D23" s="7" t="s">
        <v>61</v>
      </c>
      <c r="E23" s="7" t="s">
        <v>62</v>
      </c>
      <c r="F23" s="7" t="s">
        <v>63</v>
      </c>
      <c r="G23" s="7" t="s">
        <v>69</v>
      </c>
    </row>
    <row r="24" customFormat="false" ht="15.8" hidden="false" customHeight="false" outlineLevel="0" collapsed="false">
      <c r="A24" s="35"/>
      <c r="B24" s="7" t="s">
        <v>71</v>
      </c>
      <c r="C24" s="38"/>
      <c r="D24" s="38"/>
      <c r="E24" s="38"/>
      <c r="F24" s="38"/>
      <c r="G24" s="38"/>
    </row>
    <row r="25" customFormat="false" ht="15.8" hidden="false" customHeight="true" outlineLevel="0" collapsed="false">
      <c r="A25" s="35" t="s">
        <v>56</v>
      </c>
      <c r="B25" s="7" t="s">
        <v>59</v>
      </c>
      <c r="C25" s="7" t="s">
        <v>65</v>
      </c>
      <c r="D25" s="7" t="s">
        <v>60</v>
      </c>
      <c r="E25" s="7" t="s">
        <v>68</v>
      </c>
      <c r="F25" s="7" t="s">
        <v>66</v>
      </c>
      <c r="G25" s="7" t="s">
        <v>67</v>
      </c>
    </row>
    <row r="26" customFormat="false" ht="13.8" hidden="false" customHeight="false" outlineLevel="0" collapsed="false">
      <c r="A26" s="35"/>
      <c r="B26" s="39"/>
      <c r="C26" s="39"/>
      <c r="D26" s="39"/>
      <c r="E26" s="39"/>
      <c r="F26" s="39"/>
      <c r="G26" s="39"/>
    </row>
    <row r="27" customFormat="false" ht="13.8" hidden="false" customHeight="false" outlineLevel="0" collapsed="false">
      <c r="A27" s="35"/>
      <c r="B27" s="39"/>
      <c r="C27" s="39"/>
      <c r="D27" s="39"/>
      <c r="E27" s="39"/>
      <c r="F27" s="39"/>
      <c r="G27" s="39"/>
    </row>
    <row r="28" customFormat="false" ht="15.8" hidden="false" customHeight="true" outlineLevel="0" collapsed="false">
      <c r="A28" s="35" t="s">
        <v>57</v>
      </c>
      <c r="B28" s="7" t="s">
        <v>59</v>
      </c>
      <c r="C28" s="7" t="s">
        <v>65</v>
      </c>
      <c r="D28" s="7" t="s">
        <v>60</v>
      </c>
      <c r="E28" s="7" t="s">
        <v>66</v>
      </c>
      <c r="F28" s="7" t="s">
        <v>67</v>
      </c>
      <c r="G28" s="7" t="s">
        <v>68</v>
      </c>
    </row>
    <row r="29" customFormat="false" ht="15.8" hidden="false" customHeight="false" outlineLevel="0" collapsed="false">
      <c r="A29" s="35"/>
      <c r="B29" s="7" t="s">
        <v>61</v>
      </c>
      <c r="C29" s="7" t="s">
        <v>62</v>
      </c>
      <c r="D29" s="7" t="s">
        <v>63</v>
      </c>
      <c r="E29" s="7" t="s">
        <v>69</v>
      </c>
      <c r="F29" s="7" t="s">
        <v>64</v>
      </c>
      <c r="G29" s="7" t="s">
        <v>70</v>
      </c>
    </row>
    <row r="30" customFormat="false" ht="13.8" hidden="false" customHeight="false" outlineLevel="0" collapsed="false">
      <c r="A30" s="35"/>
      <c r="B30" s="39"/>
      <c r="C30" s="39"/>
      <c r="D30" s="39"/>
      <c r="E30" s="39"/>
      <c r="F30" s="39"/>
      <c r="G30" s="39"/>
    </row>
    <row r="31" customFormat="false" ht="15" hidden="false" customHeight="false" outlineLevel="0" collapsed="false">
      <c r="A31" s="12" t="s">
        <v>72</v>
      </c>
      <c r="B31" s="12"/>
      <c r="C31" s="12"/>
      <c r="D31" s="12"/>
      <c r="E31" s="12"/>
      <c r="F31" s="12"/>
      <c r="G31" s="12"/>
    </row>
    <row r="32" customFormat="false" ht="15" hidden="false" customHeight="true" outlineLevel="0" collapsed="false">
      <c r="A32" s="35" t="s">
        <v>54</v>
      </c>
      <c r="B32" s="40"/>
      <c r="C32" s="40"/>
      <c r="D32" s="40"/>
      <c r="E32" s="40"/>
      <c r="F32" s="40"/>
      <c r="G32" s="40"/>
    </row>
    <row r="33" customFormat="false" ht="15" hidden="false" customHeight="false" outlineLevel="0" collapsed="false">
      <c r="A33" s="35"/>
      <c r="B33" s="40"/>
      <c r="C33" s="40"/>
      <c r="D33" s="40"/>
      <c r="E33" s="40"/>
      <c r="F33" s="40"/>
      <c r="G33" s="40"/>
    </row>
    <row r="34" customFormat="false" ht="15" hidden="false" customHeight="false" outlineLevel="0" collapsed="false">
      <c r="A34" s="35"/>
      <c r="B34" s="40"/>
      <c r="C34" s="40"/>
      <c r="D34" s="40"/>
      <c r="E34" s="40"/>
      <c r="F34" s="40"/>
      <c r="G34" s="40"/>
    </row>
    <row r="35" customFormat="false" ht="15" hidden="false" customHeight="true" outlineLevel="0" collapsed="false">
      <c r="A35" s="35" t="s">
        <v>55</v>
      </c>
      <c r="B35" s="40"/>
      <c r="C35" s="40"/>
      <c r="D35" s="40"/>
      <c r="E35" s="40"/>
      <c r="F35" s="40"/>
      <c r="G35" s="40"/>
    </row>
    <row r="36" customFormat="false" ht="15" hidden="false" customHeight="false" outlineLevel="0" collapsed="false">
      <c r="A36" s="35"/>
      <c r="B36" s="40"/>
      <c r="C36" s="40"/>
      <c r="D36" s="40"/>
      <c r="E36" s="40"/>
      <c r="F36" s="40"/>
      <c r="G36" s="40"/>
    </row>
    <row r="37" customFormat="false" ht="15" hidden="false" customHeight="false" outlineLevel="0" collapsed="false">
      <c r="A37" s="35"/>
      <c r="B37" s="40"/>
      <c r="C37" s="40"/>
      <c r="D37" s="40"/>
      <c r="E37" s="40"/>
      <c r="F37" s="40"/>
      <c r="G37" s="40"/>
    </row>
    <row r="38" customFormat="false" ht="15" hidden="false" customHeight="true" outlineLevel="0" collapsed="false">
      <c r="A38" s="35" t="s">
        <v>56</v>
      </c>
      <c r="B38" s="40"/>
      <c r="C38" s="40"/>
      <c r="D38" s="40"/>
      <c r="E38" s="40"/>
      <c r="F38" s="40"/>
      <c r="G38" s="40"/>
    </row>
    <row r="39" customFormat="false" ht="15" hidden="false" customHeight="false" outlineLevel="0" collapsed="false">
      <c r="A39" s="35"/>
      <c r="B39" s="40"/>
      <c r="C39" s="40"/>
      <c r="D39" s="40"/>
      <c r="E39" s="40"/>
      <c r="F39" s="40"/>
      <c r="G39" s="40"/>
    </row>
    <row r="40" customFormat="false" ht="15" hidden="false" customHeight="false" outlineLevel="0" collapsed="false">
      <c r="A40" s="35"/>
      <c r="B40" s="40"/>
      <c r="C40" s="40"/>
      <c r="D40" s="40"/>
      <c r="E40" s="40"/>
      <c r="F40" s="40"/>
      <c r="G40" s="40"/>
    </row>
    <row r="41" customFormat="false" ht="15" hidden="false" customHeight="true" outlineLevel="0" collapsed="false">
      <c r="A41" s="35" t="s">
        <v>57</v>
      </c>
      <c r="B41" s="40"/>
      <c r="C41" s="40"/>
      <c r="D41" s="40"/>
      <c r="E41" s="40"/>
      <c r="F41" s="40"/>
      <c r="G41" s="40"/>
    </row>
    <row r="42" customFormat="false" ht="15" hidden="false" customHeight="false" outlineLevel="0" collapsed="false">
      <c r="A42" s="35"/>
      <c r="B42" s="40"/>
      <c r="C42" s="40"/>
      <c r="D42" s="40"/>
      <c r="E42" s="40"/>
      <c r="F42" s="40"/>
      <c r="G42" s="40"/>
    </row>
    <row r="43" customFormat="false" ht="15" hidden="false" customHeight="false" outlineLevel="0" collapsed="false">
      <c r="A43" s="35"/>
      <c r="B43" s="40"/>
      <c r="C43" s="40"/>
      <c r="D43" s="40"/>
      <c r="E43" s="40"/>
      <c r="F43" s="40"/>
      <c r="G43" s="40"/>
    </row>
    <row r="44" customFormat="false" ht="15" hidden="false" customHeight="false" outlineLevel="0" collapsed="false">
      <c r="A44" s="12" t="s">
        <v>73</v>
      </c>
      <c r="B44" s="12"/>
      <c r="C44" s="12"/>
      <c r="D44" s="12"/>
      <c r="E44" s="12"/>
      <c r="F44" s="12"/>
      <c r="G44" s="12"/>
    </row>
    <row r="45" customFormat="false" ht="15" hidden="false" customHeight="true" outlineLevel="0" collapsed="false">
      <c r="A45" s="35" t="s">
        <v>54</v>
      </c>
      <c r="B45" s="40"/>
      <c r="C45" s="40"/>
      <c r="D45" s="40"/>
      <c r="E45" s="40"/>
      <c r="F45" s="40"/>
      <c r="G45" s="40"/>
    </row>
    <row r="46" customFormat="false" ht="15" hidden="false" customHeight="false" outlineLevel="0" collapsed="false">
      <c r="A46" s="35"/>
      <c r="B46" s="40"/>
      <c r="C46" s="40"/>
      <c r="D46" s="40"/>
      <c r="E46" s="40"/>
      <c r="F46" s="40"/>
      <c r="G46" s="40"/>
    </row>
    <row r="47" customFormat="false" ht="15" hidden="false" customHeight="false" outlineLevel="0" collapsed="false">
      <c r="A47" s="35"/>
      <c r="B47" s="40"/>
      <c r="C47" s="40"/>
      <c r="D47" s="40"/>
      <c r="E47" s="40"/>
      <c r="F47" s="40"/>
      <c r="G47" s="40"/>
    </row>
    <row r="48" customFormat="false" ht="15" hidden="false" customHeight="true" outlineLevel="0" collapsed="false">
      <c r="A48" s="35" t="s">
        <v>55</v>
      </c>
      <c r="B48" s="40"/>
      <c r="C48" s="40"/>
      <c r="D48" s="40"/>
      <c r="E48" s="40"/>
      <c r="F48" s="40"/>
      <c r="G48" s="40"/>
    </row>
    <row r="49" customFormat="false" ht="15" hidden="false" customHeight="false" outlineLevel="0" collapsed="false">
      <c r="A49" s="35"/>
      <c r="B49" s="40"/>
      <c r="C49" s="40"/>
      <c r="D49" s="40"/>
      <c r="E49" s="40"/>
      <c r="F49" s="40"/>
      <c r="G49" s="40"/>
    </row>
    <row r="50" customFormat="false" ht="15" hidden="false" customHeight="false" outlineLevel="0" collapsed="false">
      <c r="A50" s="35"/>
      <c r="B50" s="40"/>
      <c r="C50" s="40"/>
      <c r="D50" s="40"/>
      <c r="E50" s="40"/>
      <c r="F50" s="40"/>
      <c r="G50" s="40"/>
    </row>
    <row r="51" customFormat="false" ht="15" hidden="false" customHeight="true" outlineLevel="0" collapsed="false">
      <c r="A51" s="35" t="s">
        <v>56</v>
      </c>
      <c r="B51" s="40"/>
      <c r="C51" s="40"/>
      <c r="D51" s="40"/>
      <c r="E51" s="40"/>
      <c r="F51" s="40"/>
      <c r="G51" s="40"/>
    </row>
    <row r="52" customFormat="false" ht="15" hidden="false" customHeight="false" outlineLevel="0" collapsed="false">
      <c r="A52" s="35"/>
      <c r="B52" s="40"/>
      <c r="C52" s="40"/>
      <c r="D52" s="40"/>
      <c r="E52" s="40"/>
      <c r="F52" s="40"/>
      <c r="G52" s="40"/>
    </row>
    <row r="53" customFormat="false" ht="15" hidden="false" customHeight="false" outlineLevel="0" collapsed="false">
      <c r="A53" s="35"/>
      <c r="B53" s="40"/>
      <c r="C53" s="40"/>
      <c r="D53" s="40"/>
      <c r="E53" s="40"/>
      <c r="F53" s="40"/>
      <c r="G53" s="40"/>
    </row>
    <row r="54" customFormat="false" ht="15" hidden="false" customHeight="true" outlineLevel="0" collapsed="false">
      <c r="A54" s="35" t="s">
        <v>57</v>
      </c>
      <c r="B54" s="40"/>
      <c r="C54" s="40"/>
      <c r="D54" s="40"/>
      <c r="E54" s="40"/>
      <c r="F54" s="40"/>
      <c r="G54" s="40"/>
    </row>
    <row r="55" customFormat="false" ht="15" hidden="false" customHeight="false" outlineLevel="0" collapsed="false">
      <c r="A55" s="35"/>
      <c r="B55" s="40"/>
      <c r="C55" s="40"/>
      <c r="D55" s="40"/>
      <c r="E55" s="40"/>
      <c r="F55" s="40"/>
      <c r="G55" s="40"/>
    </row>
    <row r="56" customFormat="false" ht="15" hidden="false" customHeight="false" outlineLevel="0" collapsed="false">
      <c r="A56" s="35"/>
      <c r="B56" s="40"/>
      <c r="C56" s="40"/>
      <c r="D56" s="40"/>
      <c r="E56" s="40"/>
      <c r="F56" s="40"/>
      <c r="G56" s="40"/>
    </row>
  </sheetData>
  <mergeCells count="24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7:G17"/>
    <mergeCell ref="A19:A21"/>
    <mergeCell ref="A22:A24"/>
    <mergeCell ref="A25:A27"/>
    <mergeCell ref="A28:A30"/>
    <mergeCell ref="A31:G31"/>
    <mergeCell ref="A32:A34"/>
    <mergeCell ref="A35:A37"/>
    <mergeCell ref="A38:A40"/>
    <mergeCell ref="A41:A43"/>
    <mergeCell ref="A44:G44"/>
    <mergeCell ref="A45:A47"/>
    <mergeCell ref="A48:A50"/>
    <mergeCell ref="A51:A53"/>
    <mergeCell ref="A54:A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N18" activeCellId="0" sqref="N1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1" t="s">
        <v>36</v>
      </c>
      <c r="B1" s="41" t="str">
        <f aca="false">score_sheet!B10</f>
        <v>APPR010120260085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2026-07-16T11:13:18Z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