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2"/>
    <sheet name="Batch Analysis - Tabular" sheetId="2" state="visible" r:id="rId3"/>
    <sheet name="Batch Analysis - Graph" sheetId="3" state="visible" r:id="rId4"/>
  </sheets>
  <definedNames>
    <definedName function="false" hidden="false" localSheetId="0" name="_xlnm._FilterDatabase" vbProcedure="false">score_sheet!$A$13:$R$33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<sst xmlns="http://schemas.openxmlformats.org/spreadsheetml/2006/main" count="198" uniqueCount="125">
  <si>
    <t xml:space="preserve">Assessment Agency Name</t>
  </si>
  <si>
    <t xml:space="preserve">Ginger Webs Pvt. Ltd.</t>
  </si>
  <si>
    <t xml:space="preserve">Training Provider Name</t>
  </si>
  <si>
    <t xml:space="preserve">Bihar Skill Development Mission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</si>
  <si>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</si>
  <si>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</si>
  <si>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</si>
  <si>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</si>
  <si>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</si>
  <si>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A-002321 &amp; Amit Kumar Singh</t>
  </si>
  <si>
    <t xml:space="preserve">Scheme Name</t>
  </si>
  <si>
    <t xml:space="preserve">BSDM</t>
  </si>
  <si>
    <t xml:space="preserve">State</t>
  </si>
  <si>
    <t xml:space="preserve">Bihar</t>
  </si>
  <si>
    <t xml:space="preserve">City</t>
  </si>
  <si>
    <t xml:space="preserve">Darbhanga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</si>
  <si>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</si>
  <si>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</si>
  <si>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</si>
  <si>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</si>
  <si>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</si>
  <si>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</si>
  <si>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</si>
  <si>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</si>
  <si>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</si>
  <si>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</si>
  <si>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</si>
  <si>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</si>
  <si>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</si>
  <si>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</si>
  <si>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</si>
  <si>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</si>
  <si>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ABHISHEK KUMAR SINGH</t>
  </si>
  <si>
    <t xml:space="preserve">CAN_039558649</t>
  </si>
  <si>
    <t xml:space="preserve">M</t>
  </si>
  <si>
    <t xml:space="preserve">KESHAV PANDIT</t>
  </si>
  <si>
    <t xml:space="preserve">CAN_039558648</t>
  </si>
  <si>
    <t xml:space="preserve">SHILA KUMARI</t>
  </si>
  <si>
    <t xml:space="preserve">CAN_039558647</t>
  </si>
  <si>
    <t xml:space="preserve">F</t>
  </si>
  <si>
    <t xml:space="preserve">PRAGATI KUMARI</t>
  </si>
  <si>
    <t xml:space="preserve">CAN_039558646</t>
  </si>
  <si>
    <t xml:space="preserve">SARITA KUMARI</t>
  </si>
  <si>
    <t xml:space="preserve">CAN_039558645</t>
  </si>
  <si>
    <t xml:space="preserve">ASTHA KUMARI</t>
  </si>
  <si>
    <t xml:space="preserve">CAN_039558644</t>
  </si>
  <si>
    <t xml:space="preserve">SAKET KUMAR JHA</t>
  </si>
  <si>
    <t xml:space="preserve">CAN_039558643</t>
  </si>
  <si>
    <t xml:space="preserve">ABHISHEK KUMAR PASWAN</t>
  </si>
  <si>
    <t xml:space="preserve">CAN_039558642</t>
  </si>
  <si>
    <t xml:space="preserve">NITISH KUMAR</t>
  </si>
  <si>
    <t xml:space="preserve">CAN_039558641</t>
  </si>
  <si>
    <t xml:space="preserve">SUMAN KUMAR SHARMA</t>
  </si>
  <si>
    <t xml:space="preserve">CAN_039558640</t>
  </si>
  <si>
    <t xml:space="preserve">JUHI PARWEEN</t>
  </si>
  <si>
    <t xml:space="preserve">CAN_039558639</t>
  </si>
  <si>
    <t xml:space="preserve">ARYAN MISHRA</t>
  </si>
  <si>
    <t xml:space="preserve">CAN_039558638</t>
  </si>
  <si>
    <t xml:space="preserve">SHIVANI KUMARI</t>
  </si>
  <si>
    <t xml:space="preserve">CAN_039558637</t>
  </si>
  <si>
    <t xml:space="preserve">SHIVESH KUMAR JHA</t>
  </si>
  <si>
    <t xml:space="preserve">CAN_039558636</t>
  </si>
  <si>
    <t xml:space="preserve">DHANRAJ KUMAR</t>
  </si>
  <si>
    <t xml:space="preserve">CAN_039558635</t>
  </si>
  <si>
    <t xml:space="preserve">AMIT KUMAR</t>
  </si>
  <si>
    <t xml:space="preserve">CAN_039558634</t>
  </si>
  <si>
    <t xml:space="preserve">ARADHANA KUMARI</t>
  </si>
  <si>
    <t xml:space="preserve">CAN_039558633</t>
  </si>
  <si>
    <t xml:space="preserve">MD SAMSUL NEHAL</t>
  </si>
  <si>
    <t xml:space="preserve">CAN_039558632</t>
  </si>
  <si>
    <t xml:space="preserve">MD SHAHABUDDIN</t>
  </si>
  <si>
    <t xml:space="preserve">CAN_039558631</t>
  </si>
  <si>
    <t xml:space="preserve">GEETANJALI KUMARI</t>
  </si>
  <si>
    <t xml:space="preserve">CAN_039558630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</si>
  <si>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</si>
  <si>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</si>
  <si>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</si>
  <si>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</si>
  <si>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</si>
  <si>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</si>
  <si>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</si>
  <si>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</si>
  <si>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</si>
  <si>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</si>
  <si>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</si>
  <si>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</si>
  <si>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</si>
  <si>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</si>
  <si>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</si>
  <si>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</si>
  <si>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</si>
  <si>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</si>
  <si>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</si>
  <si>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</si>
  <si>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</si>
  <si>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</si>
  <si>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</si>
  <si>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</si>
  <si>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</si>
  <si>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</si>
  <si>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PC3</t>
  </si>
  <si>
    <t xml:space="preserve">PC20</t>
  </si>
  <si>
    <t xml:space="preserve">PC19</t>
  </si>
  <si>
    <t xml:space="preserve">PC24</t>
  </si>
  <si>
    <t xml:space="preserve">PC1</t>
  </si>
  <si>
    <t xml:space="preserve">PC18</t>
  </si>
  <si>
    <t xml:space="preserve">PC11</t>
  </si>
  <si>
    <t xml:space="preserve">PC7</t>
  </si>
  <si>
    <t xml:space="preserve">PC14</t>
  </si>
  <si>
    <t xml:space="preserve">PC6</t>
  </si>
  <si>
    <t xml:space="preserve">PC12</t>
  </si>
  <si>
    <t xml:space="preserve">PC9</t>
  </si>
  <si>
    <t xml:space="preserve">PC10</t>
  </si>
  <si>
    <t xml:space="preserve">Moderately weak PCs (AVERAGE SCORE BETWEEN 50-70%)</t>
  </si>
  <si>
    <t xml:space="preserve">PC5</t>
  </si>
  <si>
    <t xml:space="preserve">PC23</t>
  </si>
  <si>
    <t xml:space="preserve">PC27</t>
  </si>
  <si>
    <t xml:space="preserve">PC15</t>
  </si>
  <si>
    <t xml:space="preserve">PC4</t>
  </si>
  <si>
    <t xml:space="preserve">PC2</t>
  </si>
  <si>
    <t xml:space="preserve">PC8</t>
  </si>
  <si>
    <t xml:space="preserve">STRONG PCs (AVERAGE SCORE MORE THAN 70%)</t>
  </si>
  <si>
    <t xml:space="preserve">PC16</t>
  </si>
  <si>
    <t xml:space="preserve">PC22</t>
  </si>
  <si>
    <t xml:space="preserve">PC21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</si>
</sst>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numFmt formatCode="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numFmt formatCode="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numFmt formatCode="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gapWidth val="219"/>
        <c:overlap val="-27"/>
        <c:axId val="57029902"/>
        <c:axId val="92463738"/>
      </c:barChart>
      <c:catAx>
        <c:axId val="570299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3738"/>
        <c:auto val="1"/>
        <c:lblAlgn val="ctr"/>
        <c:lblOffset val="100"/>
        <c:noMultiLvlLbl val="0"/>
      </c:catAx>
      <c:valAx>
        <c:axId val="9246373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02990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321558143976"/>
          <c:y val="0.128442663995994"/>
          <c:w val="0.905289287760168"/>
          <c:h val="0.552078117175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numFmt formatCode="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64.47</c:v>
                </c:pt>
                <c:pt idx="1">
                  <c:v>68.08</c:v>
                </c:pt>
                <c:pt idx="2">
                  <c:v>77.255</c:v>
                </c:pt>
                <c:pt idx="3">
                  <c:v>82.615</c:v>
                </c:pt>
                <c:pt idx="4">
                  <c:v>38.9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44.2</c:v>
                </c:pt>
                <c:pt idx="1">
                  <c:v>54</c:v>
                </c:pt>
                <c:pt idx="2">
                  <c:v>64.9</c:v>
                </c:pt>
                <c:pt idx="3">
                  <c:v>55.1</c:v>
                </c:pt>
                <c:pt idx="4">
                  <c:v>26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74.3</c:v>
                </c:pt>
                <c:pt idx="1">
                  <c:v>81.6</c:v>
                </c:pt>
                <c:pt idx="2">
                  <c:v>89.7</c:v>
                </c:pt>
                <c:pt idx="3">
                  <c:v>97.9</c:v>
                </c:pt>
                <c:pt idx="4">
                  <c:v>50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67.05</c:v>
                </c:pt>
                <c:pt idx="1">
                  <c:v>66.5</c:v>
                </c:pt>
                <c:pt idx="2">
                  <c:v>77.4</c:v>
                </c:pt>
                <c:pt idx="3">
                  <c:v>82.95</c:v>
                </c:pt>
                <c:pt idx="4">
                  <c:v>41.5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6.59439913866305</c:v>
                </c:pt>
                <c:pt idx="1">
                  <c:v>7.53582112314245</c:v>
                </c:pt>
                <c:pt idx="2">
                  <c:v>6.72625267143601</c:v>
                </c:pt>
                <c:pt idx="3">
                  <c:v>8.97982600054144</c:v>
                </c:pt>
                <c:pt idx="4">
                  <c:v>8.0492235650403</c:v>
                </c:pt>
              </c:numCache>
            </c:numRef>
          </c:val>
        </c:ser>
        <c:gapWidth val="150"/>
        <c:overlap val="0"/>
        <c:axId val="552037"/>
        <c:axId val="23687785"/>
      </c:barChart>
      <c:catAx>
        <c:axId val="5520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687785"/>
        <c:crosses val="autoZero"/>
        <c:auto val="1"/>
        <c:lblAlgn val="ctr"/>
        <c:lblOffset val="100"/>
        <c:noMultiLvlLbl val="0"/>
      </c:catAx>
      <c:valAx>
        <c:axId val="2368778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2037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gapWidth val="219"/>
        <c:overlap val="-27"/>
        <c:axId val="79130645"/>
        <c:axId val="95883810"/>
      </c:barChart>
      <c:catAx>
        <c:axId val="79130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883810"/>
        <c:crosses val="autoZero"/>
        <c:auto val="1"/>
        <c:lblAlgn val="ctr"/>
        <c:lblOffset val="100"/>
        <c:noMultiLvlLbl val="0"/>
      </c:catAx>
      <c:valAx>
        <c:axId val="958838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13064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324360</xdr:colOff>
      <xdr:row>17</xdr:row>
      <xdr:rowOff>93960</xdr:rowOff>
    </xdr:to>
    <xdr:graphicFrame>
      <xdr:nvGraphicFramePr>
        <xdr:cNvPr id="0" name="Chart 1"/>
        <xdr:cNvGraphicFramePr/>
      </xdr:nvGraphicFramePr>
      <xdr:xfrm>
        <a:off x="192240" y="466560"/>
        <a:ext cx="5448240" cy="286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37080</xdr:colOff>
      <xdr:row>17</xdr:row>
      <xdr:rowOff>103680</xdr:rowOff>
    </xdr:to>
    <xdr:graphicFrame>
      <xdr:nvGraphicFramePr>
        <xdr:cNvPr id="1" name="Chart 2"/>
        <xdr:cNvGraphicFramePr/>
      </xdr:nvGraphicFramePr>
      <xdr:xfrm>
        <a:off x="5799960" y="466560"/>
        <a:ext cx="9426240" cy="287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597240</xdr:colOff>
      <xdr:row>17</xdr:row>
      <xdr:rowOff>46440</xdr:rowOff>
    </xdr:to>
    <xdr:graphicFrame>
      <xdr:nvGraphicFramePr>
        <xdr:cNvPr id="2" name="Chart 3"/>
        <xdr:cNvGraphicFramePr/>
      </xdr:nvGraphicFramePr>
      <xdr:xfrm>
        <a:off x="15482520" y="428400"/>
        <a:ext cx="561996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5" activeCellId="0" sqref="E5"/>
    </sheetView>
  </sheetViews>
  <sheetFormatPr defaultColWidth="9.160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1.57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4"/>
    <col collapsed="false" customWidth="true" hidden="false" outlineLevel="0" max="8" min="8" style="1" width="11.71"/>
    <col collapsed="false" customWidth="true" hidden="false" outlineLevel="0" max="9" min="9" style="1" width="12.14"/>
    <col collapsed="false" customWidth="true" hidden="false" outlineLevel="0" max="10" min="10" style="1" width="12.71"/>
    <col collapsed="false" customWidth="true" hidden="false" outlineLevel="0" max="11" min="11" style="1" width="12.14"/>
    <col collapsed="false" customWidth="true" hidden="false" outlineLevel="0" max="12" min="12" style="1" width="12.43"/>
    <col collapsed="false" customWidth="true" hidden="false" outlineLevel="0" max="13" min="13" style="1" width="12.14"/>
    <col collapsed="false" customWidth="true" hidden="false" outlineLevel="0" max="14" min="14" style="1" width="11.57"/>
    <col collapsed="false" customWidth="true" hidden="false" outlineLevel="0" max="15" min="15" style="1" width="12.14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02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4.9" hidden="false" customHeight="false" outlineLevel="0" collapsed="false">
      <c r="A3" s="2" t="s">
        <v>4</v>
      </c>
      <c r="B3" s="3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n">
        <v>3700984</v>
      </c>
    </row>
    <row r="11" customFormat="false" ht="13.8" hidden="false" customHeight="false" outlineLevel="0" collapsed="false">
      <c r="A11" s="4"/>
      <c r="B11" s="4"/>
    </row>
    <row r="13" customFormat="false" ht="41.75" hidden="false" customHeight="false" outlineLevel="0" collapsed="false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24</v>
      </c>
      <c r="L13" s="6" t="s">
        <v>27</v>
      </c>
      <c r="M13" s="6" t="s">
        <v>24</v>
      </c>
      <c r="N13" s="6" t="s">
        <v>28</v>
      </c>
      <c r="O13" s="6" t="s">
        <v>24</v>
      </c>
      <c r="P13" s="6" t="s">
        <v>29</v>
      </c>
      <c r="Q13" s="6" t="s">
        <v>30</v>
      </c>
      <c r="R13" s="6" t="s">
        <v>31</v>
      </c>
    </row>
    <row r="14" customFormat="false" ht="15.8" hidden="false" customHeight="false" outlineLevel="0" collapsed="false">
      <c r="A14" s="7" t="n">
        <v>3700984</v>
      </c>
      <c r="B14" s="8" t="s">
        <v>32</v>
      </c>
      <c r="C14" s="8" t="s">
        <v>33</v>
      </c>
      <c r="D14" s="8" t="s">
        <v>34</v>
      </c>
      <c r="E14" s="9" t="n">
        <v>46151</v>
      </c>
      <c r="F14" s="8" t="n">
        <v>59.1</v>
      </c>
      <c r="G14" s="2" t="str">
        <f aca="false">IF(F14&gt;=50,"PASS",IF(F14&gt;0,"FAIL", "ABSENT"))</f>
        <v>PASS</v>
      </c>
      <c r="H14" s="8" t="n">
        <v>60.3</v>
      </c>
      <c r="I14" s="2" t="str">
        <f aca="false">IF(H14&gt;=50,"PASS",IF(H14&gt;0,"FAIL", "ABSENT"))</f>
        <v>PASS</v>
      </c>
      <c r="J14" s="8" t="n">
        <v>88</v>
      </c>
      <c r="K14" s="2" t="str">
        <f aca="false">IF(J14&gt;=50,"PASS",IF(J14&gt;0,"FAIL", "ABSENT"))</f>
        <v>PASS</v>
      </c>
      <c r="L14" s="8" t="n">
        <v>88.3</v>
      </c>
      <c r="M14" s="2" t="str">
        <f aca="false">IF(L14&gt;=50,"PASS",IF(L14&gt;0,"FAIL", "ABSENT"))</f>
        <v>PASS</v>
      </c>
      <c r="N14" s="8" t="n">
        <v>39</v>
      </c>
      <c r="O14" s="2" t="str">
        <f aca="false">IF(N14&gt;=25,"PASS",IF(N14&gt;0,"FAIL", "ABSENT"))</f>
        <v>PASS</v>
      </c>
      <c r="P14" s="10" t="n">
        <f aca="false">F14+H14+J14+L14+N14</f>
        <v>334.7</v>
      </c>
      <c r="Q14" s="2" t="str">
        <f aca="false">IF(R14&gt;=50,"PASS",IF(R14&gt;0,"FAIL","ABSENT"))</f>
        <v>PASS</v>
      </c>
      <c r="R14" s="11" t="n">
        <f aca="false">P14/450*100</f>
        <v>74.3777777777778</v>
      </c>
    </row>
    <row r="15" customFormat="false" ht="15.8" hidden="false" customHeight="false" outlineLevel="0" collapsed="false">
      <c r="A15" s="7" t="n">
        <v>3700984</v>
      </c>
      <c r="B15" s="8" t="s">
        <v>35</v>
      </c>
      <c r="C15" s="8" t="s">
        <v>36</v>
      </c>
      <c r="D15" s="8" t="s">
        <v>34</v>
      </c>
      <c r="E15" s="9" t="n">
        <v>46151</v>
      </c>
      <c r="F15" s="8" t="n">
        <v>70.9</v>
      </c>
      <c r="G15" s="2" t="str">
        <f aca="false">IF(F15&gt;=50,"PASS",IF(F15&gt;0,"FAIL", "ABSENT"))</f>
        <v>PASS</v>
      </c>
      <c r="H15" s="8" t="n">
        <v>57</v>
      </c>
      <c r="I15" s="2" t="str">
        <f aca="false">IF(H15&gt;=50,"PASS",IF(H15&gt;0,"FAIL", "ABSENT"))</f>
        <v>PASS</v>
      </c>
      <c r="J15" s="8" t="n">
        <v>87</v>
      </c>
      <c r="K15" s="2" t="str">
        <f aca="false">IF(J15&gt;=50,"PASS",IF(J15&gt;0,"FAIL", "ABSENT"))</f>
        <v>PASS</v>
      </c>
      <c r="L15" s="8" t="n">
        <v>91.1</v>
      </c>
      <c r="M15" s="2" t="str">
        <f aca="false">IF(L15&gt;=50,"PASS",IF(L15&gt;0,"FAIL", "ABSENT"))</f>
        <v>PASS</v>
      </c>
      <c r="N15" s="8" t="n">
        <v>44</v>
      </c>
      <c r="O15" s="2" t="str">
        <f aca="false">IF(N15&gt;=25,"PASS",IF(N15&gt;0,"FAIL", "ABSENT"))</f>
        <v>PASS</v>
      </c>
      <c r="P15" s="10" t="n">
        <f aca="false">F15+H15+J15+L15+N15</f>
        <v>350</v>
      </c>
      <c r="Q15" s="2" t="str">
        <f aca="false">IF(R15&gt;=50,"PASS",IF(R15&gt;0,"FAIL","ABSENT"))</f>
        <v>PASS</v>
      </c>
      <c r="R15" s="11" t="n">
        <f aca="false">P15/450*100</f>
        <v>77.7777777777778</v>
      </c>
    </row>
    <row r="16" customFormat="false" ht="15.8" hidden="false" customHeight="false" outlineLevel="0" collapsed="false">
      <c r="A16" s="7" t="n">
        <v>3700984</v>
      </c>
      <c r="B16" s="8" t="s">
        <v>37</v>
      </c>
      <c r="C16" s="8" t="s">
        <v>38</v>
      </c>
      <c r="D16" s="8" t="s">
        <v>39</v>
      </c>
      <c r="E16" s="9" t="n">
        <v>46151</v>
      </c>
      <c r="F16" s="8" t="n">
        <v>61</v>
      </c>
      <c r="G16" s="2" t="str">
        <f aca="false">IF(F16&gt;=50,"PASS",IF(F16&gt;0,"FAIL", "ABSENT"))</f>
        <v>PASS</v>
      </c>
      <c r="H16" s="8" t="n">
        <v>63.6</v>
      </c>
      <c r="I16" s="2" t="str">
        <f aca="false">IF(H16&gt;=50,"PASS",IF(H16&gt;0,"FAIL", "ABSENT"))</f>
        <v>PASS</v>
      </c>
      <c r="J16" s="8" t="n">
        <v>82.4</v>
      </c>
      <c r="K16" s="2" t="str">
        <f aca="false">IF(J16&gt;=50,"PASS",IF(J16&gt;0,"FAIL", "ABSENT"))</f>
        <v>PASS</v>
      </c>
      <c r="L16" s="8" t="n">
        <v>76.2</v>
      </c>
      <c r="M16" s="2" t="str">
        <f aca="false">IF(L16&gt;=50,"PASS",IF(L16&gt;0,"FAIL", "ABSENT"))</f>
        <v>PASS</v>
      </c>
      <c r="N16" s="8" t="n">
        <v>42</v>
      </c>
      <c r="O16" s="2" t="str">
        <f aca="false">IF(N16&gt;=25,"PASS",IF(N16&gt;0,"FAIL", "ABSENT"))</f>
        <v>PASS</v>
      </c>
      <c r="P16" s="10" t="n">
        <f aca="false">F16+H16+J16+L16+N16</f>
        <v>325.2</v>
      </c>
      <c r="Q16" s="2" t="str">
        <f aca="false">IF(R16&gt;=50,"PASS",IF(R16&gt;0,"FAIL","ABSENT"))</f>
        <v>PASS</v>
      </c>
      <c r="R16" s="11" t="n">
        <f aca="false">P16/450*100</f>
        <v>72.2666666666667</v>
      </c>
    </row>
    <row r="17" customFormat="false" ht="15.8" hidden="false" customHeight="false" outlineLevel="0" collapsed="false">
      <c r="A17" s="7" t="n">
        <v>3700984</v>
      </c>
      <c r="B17" s="8" t="s">
        <v>40</v>
      </c>
      <c r="C17" s="8" t="s">
        <v>41</v>
      </c>
      <c r="D17" s="8" t="s">
        <v>39</v>
      </c>
      <c r="E17" s="9" t="n">
        <v>46151</v>
      </c>
      <c r="F17" s="8" t="n">
        <v>44.2</v>
      </c>
      <c r="G17" s="2" t="str">
        <f aca="false">IF(F17&gt;=50,"PASS",IF(F17&gt;0,"FAIL", "ABSENT"))</f>
        <v>FAIL</v>
      </c>
      <c r="H17" s="8" t="n">
        <v>74.8</v>
      </c>
      <c r="I17" s="2" t="str">
        <f aca="false">IF(H17&gt;=50,"PASS",IF(H17&gt;0,"FAIL", "ABSENT"))</f>
        <v>PASS</v>
      </c>
      <c r="J17" s="8" t="n">
        <v>79.5</v>
      </c>
      <c r="K17" s="2" t="str">
        <f aca="false">IF(J17&gt;=50,"PASS",IF(J17&gt;0,"FAIL", "ABSENT"))</f>
        <v>PASS</v>
      </c>
      <c r="L17" s="8" t="n">
        <v>84.1</v>
      </c>
      <c r="M17" s="2" t="str">
        <f aca="false">IF(L17&gt;=50,"PASS",IF(L17&gt;0,"FAIL", "ABSENT"))</f>
        <v>PASS</v>
      </c>
      <c r="N17" s="8" t="n">
        <v>38</v>
      </c>
      <c r="O17" s="2" t="str">
        <f aca="false">IF(N17&gt;=25,"PASS",IF(N17&gt;0,"FAIL", "ABSENT"))</f>
        <v>PASS</v>
      </c>
      <c r="P17" s="10" t="n">
        <f aca="false">F17+H17+J17+L17+N17</f>
        <v>320.6</v>
      </c>
      <c r="Q17" s="2" t="str">
        <f aca="false">IF(R17&gt;=50,"PASS",IF(R17&gt;0,"FAIL","ABSENT"))</f>
        <v>PASS</v>
      </c>
      <c r="R17" s="11" t="n">
        <f aca="false">P17/450*100</f>
        <v>71.2444444444445</v>
      </c>
    </row>
    <row r="18" customFormat="false" ht="15.8" hidden="false" customHeight="false" outlineLevel="0" collapsed="false">
      <c r="A18" s="7" t="n">
        <v>3700984</v>
      </c>
      <c r="B18" s="8" t="s">
        <v>42</v>
      </c>
      <c r="C18" s="8" t="s">
        <v>43</v>
      </c>
      <c r="D18" s="8" t="s">
        <v>39</v>
      </c>
      <c r="E18" s="9" t="n">
        <v>46151</v>
      </c>
      <c r="F18" s="8" t="n">
        <v>74.3</v>
      </c>
      <c r="G18" s="2" t="str">
        <f aca="false">IF(F18&gt;=50,"PASS",IF(F18&gt;0,"FAIL", "ABSENT"))</f>
        <v>PASS</v>
      </c>
      <c r="H18" s="8" t="n">
        <v>65.8</v>
      </c>
      <c r="I18" s="2" t="str">
        <f aca="false">IF(H18&gt;=50,"PASS",IF(H18&gt;0,"FAIL", "ABSENT"))</f>
        <v>PASS</v>
      </c>
      <c r="J18" s="8" t="n">
        <v>77.6</v>
      </c>
      <c r="K18" s="2" t="str">
        <f aca="false">IF(J18&gt;=50,"PASS",IF(J18&gt;0,"FAIL", "ABSENT"))</f>
        <v>PASS</v>
      </c>
      <c r="L18" s="8" t="n">
        <v>97.9</v>
      </c>
      <c r="M18" s="2" t="str">
        <f aca="false">IF(L18&gt;=50,"PASS",IF(L18&gt;0,"FAIL", "ABSENT"))</f>
        <v>PASS</v>
      </c>
      <c r="N18" s="8" t="n">
        <v>44</v>
      </c>
      <c r="O18" s="2" t="str">
        <f aca="false">IF(N18&gt;=25,"PASS",IF(N18&gt;0,"FAIL", "ABSENT"))</f>
        <v>PASS</v>
      </c>
      <c r="P18" s="10" t="n">
        <f aca="false">F18+H18+J18+L18+N18</f>
        <v>359.6</v>
      </c>
      <c r="Q18" s="2" t="str">
        <f aca="false">IF(R18&gt;=50,"PASS",IF(R18&gt;0,"FAIL","ABSENT"))</f>
        <v>PASS</v>
      </c>
      <c r="R18" s="11" t="n">
        <f aca="false">P18/450*100</f>
        <v>79.9111111111111</v>
      </c>
    </row>
    <row r="19" customFormat="false" ht="15.8" hidden="false" customHeight="false" outlineLevel="0" collapsed="false">
      <c r="A19" s="7" t="n">
        <v>3700984</v>
      </c>
      <c r="B19" s="8" t="s">
        <v>44</v>
      </c>
      <c r="C19" s="8" t="s">
        <v>45</v>
      </c>
      <c r="D19" s="8" t="s">
        <v>39</v>
      </c>
      <c r="E19" s="9" t="n">
        <v>46151</v>
      </c>
      <c r="F19" s="8" t="n">
        <v>60.7</v>
      </c>
      <c r="G19" s="2" t="str">
        <f aca="false">IF(F19&gt;=50,"PASS",IF(F19&gt;0,"FAIL", "ABSENT"))</f>
        <v>PASS</v>
      </c>
      <c r="H19" s="8" t="n">
        <v>75.6</v>
      </c>
      <c r="I19" s="2" t="str">
        <f aca="false">IF(H19&gt;=50,"PASS",IF(H19&gt;0,"FAIL", "ABSENT"))</f>
        <v>PASS</v>
      </c>
      <c r="J19" s="8" t="n">
        <v>83.7</v>
      </c>
      <c r="K19" s="2" t="str">
        <f aca="false">IF(J19&gt;=50,"PASS",IF(J19&gt;0,"FAIL", "ABSENT"))</f>
        <v>PASS</v>
      </c>
      <c r="L19" s="8" t="n">
        <v>88.8</v>
      </c>
      <c r="M19" s="2" t="str">
        <f aca="false">IF(L19&gt;=50,"PASS",IF(L19&gt;0,"FAIL", "ABSENT"))</f>
        <v>PASS</v>
      </c>
      <c r="N19" s="8" t="n">
        <v>26</v>
      </c>
      <c r="O19" s="2" t="str">
        <f aca="false">IF(N19&gt;=25,"PASS",IF(N19&gt;0,"FAIL", "ABSENT"))</f>
        <v>PASS</v>
      </c>
      <c r="P19" s="10" t="n">
        <f aca="false">F19+H19+J19+L19+N19</f>
        <v>334.8</v>
      </c>
      <c r="Q19" s="2" t="str">
        <f aca="false">IF(R19&gt;=50,"PASS",IF(R19&gt;0,"FAIL","ABSENT"))</f>
        <v>PASS</v>
      </c>
      <c r="R19" s="11" t="n">
        <f aca="false">P19/450*100</f>
        <v>74.4</v>
      </c>
    </row>
    <row r="20" customFormat="false" ht="15.8" hidden="false" customHeight="false" outlineLevel="0" collapsed="false">
      <c r="A20" s="7" t="n">
        <v>3700984</v>
      </c>
      <c r="B20" s="8" t="s">
        <v>46</v>
      </c>
      <c r="C20" s="8" t="s">
        <v>47</v>
      </c>
      <c r="D20" s="8" t="s">
        <v>34</v>
      </c>
      <c r="E20" s="9" t="n">
        <v>46151</v>
      </c>
      <c r="F20" s="8" t="n">
        <v>70.8</v>
      </c>
      <c r="G20" s="2" t="str">
        <f aca="false">IF(F20&gt;=50,"PASS",IF(F20&gt;0,"FAIL", "ABSENT"))</f>
        <v>PASS</v>
      </c>
      <c r="H20" s="8" t="n">
        <v>73</v>
      </c>
      <c r="I20" s="2" t="str">
        <f aca="false">IF(H20&gt;=50,"PASS",IF(H20&gt;0,"FAIL", "ABSENT"))</f>
        <v>PASS</v>
      </c>
      <c r="J20" s="8" t="n">
        <v>89.7</v>
      </c>
      <c r="K20" s="2" t="str">
        <f aca="false">IF(J20&gt;=50,"PASS",IF(J20&gt;0,"FAIL", "ABSENT"))</f>
        <v>PASS</v>
      </c>
      <c r="L20" s="8" t="n">
        <v>73.2</v>
      </c>
      <c r="M20" s="2" t="str">
        <f aca="false">IF(L20&gt;=50,"PASS",IF(L20&gt;0,"FAIL", "ABSENT"))</f>
        <v>PASS</v>
      </c>
      <c r="N20" s="8" t="n">
        <v>31</v>
      </c>
      <c r="O20" s="2" t="str">
        <f aca="false">IF(N20&gt;=25,"PASS",IF(N20&gt;0,"FAIL", "ABSENT"))</f>
        <v>PASS</v>
      </c>
      <c r="P20" s="10" t="n">
        <f aca="false">F20+H20+J20+L20+N20</f>
        <v>337.7</v>
      </c>
      <c r="Q20" s="2" t="str">
        <f aca="false">IF(R20&gt;=50,"PASS",IF(R20&gt;0,"FAIL","ABSENT"))</f>
        <v>PASS</v>
      </c>
      <c r="R20" s="11" t="n">
        <f aca="false">P20/450*100</f>
        <v>75.0444444444445</v>
      </c>
    </row>
    <row r="21" customFormat="false" ht="15.8" hidden="false" customHeight="false" outlineLevel="0" collapsed="false">
      <c r="A21" s="7" t="n">
        <v>3700984</v>
      </c>
      <c r="B21" s="8" t="s">
        <v>48</v>
      </c>
      <c r="C21" s="8" t="s">
        <v>49</v>
      </c>
      <c r="D21" s="8" t="s">
        <v>34</v>
      </c>
      <c r="E21" s="9" t="n">
        <v>46151</v>
      </c>
      <c r="F21" s="8" t="n">
        <v>69</v>
      </c>
      <c r="G21" s="2" t="str">
        <f aca="false">IF(F21&gt;=50,"PASS",IF(F21&gt;0,"FAIL", "ABSENT"))</f>
        <v>PASS</v>
      </c>
      <c r="H21" s="8" t="n">
        <v>65.8</v>
      </c>
      <c r="I21" s="2" t="str">
        <f aca="false">IF(H21&gt;=50,"PASS",IF(H21&gt;0,"FAIL", "ABSENT"))</f>
        <v>PASS</v>
      </c>
      <c r="J21" s="8" t="n">
        <v>71.9</v>
      </c>
      <c r="K21" s="2" t="str">
        <f aca="false">IF(J21&gt;=50,"PASS",IF(J21&gt;0,"FAIL", "ABSENT"))</f>
        <v>PASS</v>
      </c>
      <c r="L21" s="8" t="n">
        <v>77</v>
      </c>
      <c r="M21" s="2" t="str">
        <f aca="false">IF(L21&gt;=50,"PASS",IF(L21&gt;0,"FAIL", "ABSENT"))</f>
        <v>PASS</v>
      </c>
      <c r="N21" s="8" t="n">
        <v>50</v>
      </c>
      <c r="O21" s="2" t="str">
        <f aca="false">IF(N21&gt;=25,"PASS",IF(N21&gt;0,"FAIL", "ABSENT"))</f>
        <v>PASS</v>
      </c>
      <c r="P21" s="10" t="n">
        <f aca="false">F21+H21+J21+L21+N21</f>
        <v>333.7</v>
      </c>
      <c r="Q21" s="2" t="str">
        <f aca="false">IF(R21&gt;=50,"PASS",IF(R21&gt;0,"FAIL","ABSENT"))</f>
        <v>PASS</v>
      </c>
      <c r="R21" s="11" t="n">
        <f aca="false">P21/450*100</f>
        <v>74.1555555555556</v>
      </c>
    </row>
    <row r="22" customFormat="false" ht="15.8" hidden="false" customHeight="false" outlineLevel="0" collapsed="false">
      <c r="A22" s="7" t="n">
        <v>3700984</v>
      </c>
      <c r="B22" s="8" t="s">
        <v>50</v>
      </c>
      <c r="C22" s="8" t="s">
        <v>51</v>
      </c>
      <c r="D22" s="8" t="s">
        <v>34</v>
      </c>
      <c r="E22" s="9" t="n">
        <v>46151</v>
      </c>
      <c r="F22" s="8" t="n">
        <v>67.3</v>
      </c>
      <c r="G22" s="2" t="str">
        <f aca="false">IF(F22&gt;=50,"PASS",IF(F22&gt;0,"FAIL", "ABSENT"))</f>
        <v>PASS</v>
      </c>
      <c r="H22" s="8" t="n">
        <v>62</v>
      </c>
      <c r="I22" s="2" t="str">
        <f aca="false">IF(H22&gt;=50,"PASS",IF(H22&gt;0,"FAIL", "ABSENT"))</f>
        <v>PASS</v>
      </c>
      <c r="J22" s="8" t="n">
        <v>70</v>
      </c>
      <c r="K22" s="2" t="str">
        <f aca="false">IF(J22&gt;=50,"PASS",IF(J22&gt;0,"FAIL", "ABSENT"))</f>
        <v>PASS</v>
      </c>
      <c r="L22" s="8" t="n">
        <v>83.1</v>
      </c>
      <c r="M22" s="2" t="str">
        <f aca="false">IF(L22&gt;=50,"PASS",IF(L22&gt;0,"FAIL", "ABSENT"))</f>
        <v>PASS</v>
      </c>
      <c r="N22" s="8" t="n">
        <v>50</v>
      </c>
      <c r="O22" s="2" t="str">
        <f aca="false">IF(N22&gt;=25,"PASS",IF(N22&gt;0,"FAIL", "ABSENT"))</f>
        <v>PASS</v>
      </c>
      <c r="P22" s="10" t="n">
        <f aca="false">F22+H22+J22+L22+N22</f>
        <v>332.4</v>
      </c>
      <c r="Q22" s="2" t="str">
        <f aca="false">IF(R22&gt;=50,"PASS",IF(R22&gt;0,"FAIL","ABSENT"))</f>
        <v>PASS</v>
      </c>
      <c r="R22" s="11" t="n">
        <f aca="false">P22/450*100</f>
        <v>73.8666666666667</v>
      </c>
    </row>
    <row r="23" customFormat="false" ht="15.8" hidden="false" customHeight="false" outlineLevel="0" collapsed="false">
      <c r="A23" s="7" t="n">
        <v>3700984</v>
      </c>
      <c r="B23" s="8" t="s">
        <v>52</v>
      </c>
      <c r="C23" s="8" t="s">
        <v>53</v>
      </c>
      <c r="D23" s="8" t="s">
        <v>34</v>
      </c>
      <c r="E23" s="9" t="n">
        <v>46151</v>
      </c>
      <c r="F23" s="8" t="n">
        <v>56.1</v>
      </c>
      <c r="G23" s="2" t="str">
        <f aca="false">IF(F23&gt;=50,"PASS",IF(F23&gt;0,"FAIL", "ABSENT"))</f>
        <v>PASS</v>
      </c>
      <c r="H23" s="8" t="n">
        <v>75.5</v>
      </c>
      <c r="I23" s="2" t="str">
        <f aca="false">IF(H23&gt;=50,"PASS",IF(H23&gt;0,"FAIL", "ABSENT"))</f>
        <v>PASS</v>
      </c>
      <c r="J23" s="8" t="n">
        <v>81.3</v>
      </c>
      <c r="K23" s="2" t="str">
        <f aca="false">IF(J23&gt;=50,"PASS",IF(J23&gt;0,"FAIL", "ABSENT"))</f>
        <v>PASS</v>
      </c>
      <c r="L23" s="8" t="n">
        <v>90.2</v>
      </c>
      <c r="M23" s="2" t="str">
        <f aca="false">IF(L23&gt;=50,"PASS",IF(L23&gt;0,"FAIL", "ABSENT"))</f>
        <v>PASS</v>
      </c>
      <c r="N23" s="8" t="n">
        <v>42</v>
      </c>
      <c r="O23" s="2" t="str">
        <f aca="false">IF(N23&gt;=25,"PASS",IF(N23&gt;0,"FAIL", "ABSENT"))</f>
        <v>PASS</v>
      </c>
      <c r="P23" s="10" t="n">
        <f aca="false">F23+H23+J23+L23+N23</f>
        <v>345.1</v>
      </c>
      <c r="Q23" s="2" t="str">
        <f aca="false">IF(R23&gt;=50,"PASS",IF(R23&gt;0,"FAIL","ABSENT"))</f>
        <v>PASS</v>
      </c>
      <c r="R23" s="11" t="n">
        <f aca="false">P23/450*100</f>
        <v>76.6888888888889</v>
      </c>
    </row>
    <row r="24" customFormat="false" ht="15.8" hidden="false" customHeight="false" outlineLevel="0" collapsed="false">
      <c r="A24" s="7" t="n">
        <v>3700984</v>
      </c>
      <c r="B24" s="8" t="s">
        <v>54</v>
      </c>
      <c r="C24" s="8" t="s">
        <v>55</v>
      </c>
      <c r="D24" s="8" t="s">
        <v>39</v>
      </c>
      <c r="E24" s="9" t="n">
        <v>46151</v>
      </c>
      <c r="F24" s="8" t="n">
        <v>69.2</v>
      </c>
      <c r="G24" s="2" t="str">
        <f aca="false">IF(F24&gt;=50,"PASS",IF(F24&gt;0,"FAIL", "ABSENT"))</f>
        <v>PASS</v>
      </c>
      <c r="H24" s="8" t="n">
        <v>54</v>
      </c>
      <c r="I24" s="2" t="str">
        <f aca="false">IF(H24&gt;=50,"PASS",IF(H24&gt;0,"FAIL", "ABSENT"))</f>
        <v>PASS</v>
      </c>
      <c r="J24" s="8" t="n">
        <v>73.4</v>
      </c>
      <c r="K24" s="2" t="str">
        <f aca="false">IF(J24&gt;=50,"PASS",IF(J24&gt;0,"FAIL", "ABSENT"))</f>
        <v>PASS</v>
      </c>
      <c r="L24" s="8" t="n">
        <v>81</v>
      </c>
      <c r="M24" s="2" t="str">
        <f aca="false">IF(L24&gt;=50,"PASS",IF(L24&gt;0,"FAIL", "ABSENT"))</f>
        <v>PASS</v>
      </c>
      <c r="N24" s="8" t="n">
        <v>34</v>
      </c>
      <c r="O24" s="2" t="str">
        <f aca="false">IF(N24&gt;=25,"PASS",IF(N24&gt;0,"FAIL", "ABSENT"))</f>
        <v>PASS</v>
      </c>
      <c r="P24" s="10" t="n">
        <f aca="false">F24+H24+J24+L24+N24</f>
        <v>311.6</v>
      </c>
      <c r="Q24" s="2" t="str">
        <f aca="false">IF(R24&gt;=50,"PASS",IF(R24&gt;0,"FAIL","ABSENT"))</f>
        <v>PASS</v>
      </c>
      <c r="R24" s="11" t="n">
        <f aca="false">P24/450*100</f>
        <v>69.2444444444445</v>
      </c>
    </row>
    <row r="25" customFormat="false" ht="15.8" hidden="false" customHeight="false" outlineLevel="0" collapsed="false">
      <c r="A25" s="7" t="n">
        <v>3700984</v>
      </c>
      <c r="B25" s="8" t="s">
        <v>56</v>
      </c>
      <c r="C25" s="8" t="s">
        <v>57</v>
      </c>
      <c r="D25" s="8" t="s">
        <v>34</v>
      </c>
      <c r="E25" s="9" t="n">
        <v>46151</v>
      </c>
      <c r="F25" s="8" t="n">
        <v>60</v>
      </c>
      <c r="G25" s="2" t="str">
        <f aca="false">IF(F25&gt;=50,"PASS",IF(F25&gt;0,"FAIL", "ABSENT"))</f>
        <v>PASS</v>
      </c>
      <c r="H25" s="8" t="n">
        <v>75.4</v>
      </c>
      <c r="I25" s="2" t="str">
        <f aca="false">IF(H25&gt;=50,"PASS",IF(H25&gt;0,"FAIL", "ABSENT"))</f>
        <v>PASS</v>
      </c>
      <c r="J25" s="8" t="n">
        <v>74.7</v>
      </c>
      <c r="K25" s="2" t="str">
        <f aca="false">IF(J25&gt;=50,"PASS",IF(J25&gt;0,"FAIL", "ABSENT"))</f>
        <v>PASS</v>
      </c>
      <c r="L25" s="8" t="n">
        <v>88.2</v>
      </c>
      <c r="M25" s="2" t="str">
        <f aca="false">IF(L25&gt;=50,"PASS",IF(L25&gt;0,"FAIL", "ABSENT"))</f>
        <v>PASS</v>
      </c>
      <c r="N25" s="8" t="n">
        <v>26</v>
      </c>
      <c r="O25" s="2" t="str">
        <f aca="false">IF(N25&gt;=25,"PASS",IF(N25&gt;0,"FAIL", "ABSENT"))</f>
        <v>PASS</v>
      </c>
      <c r="P25" s="10" t="n">
        <f aca="false">F25+H25+J25+L25+N25</f>
        <v>324.3</v>
      </c>
      <c r="Q25" s="2" t="str">
        <f aca="false">IF(R25&gt;=50,"PASS",IF(R25&gt;0,"FAIL","ABSENT"))</f>
        <v>PASS</v>
      </c>
      <c r="R25" s="11" t="n">
        <f aca="false">P25/450*100</f>
        <v>72.0666666666667</v>
      </c>
    </row>
    <row r="26" customFormat="false" ht="15.8" hidden="false" customHeight="false" outlineLevel="0" collapsed="false">
      <c r="A26" s="7" t="n">
        <v>3700984</v>
      </c>
      <c r="B26" s="8" t="s">
        <v>58</v>
      </c>
      <c r="C26" s="8" t="s">
        <v>59</v>
      </c>
      <c r="D26" s="8" t="s">
        <v>39</v>
      </c>
      <c r="E26" s="9" t="n">
        <v>46151</v>
      </c>
      <c r="F26" s="8" t="n">
        <v>68.7</v>
      </c>
      <c r="G26" s="2" t="str">
        <f aca="false">IF(F26&gt;=50,"PASS",IF(F26&gt;0,"FAIL", "ABSENT"))</f>
        <v>PASS</v>
      </c>
      <c r="H26" s="8" t="n">
        <v>63.3</v>
      </c>
      <c r="I26" s="2" t="str">
        <f aca="false">IF(H26&gt;=50,"PASS",IF(H26&gt;0,"FAIL", "ABSENT"))</f>
        <v>PASS</v>
      </c>
      <c r="J26" s="8" t="n">
        <v>79.3</v>
      </c>
      <c r="K26" s="2" t="str">
        <f aca="false">IF(J26&gt;=50,"PASS",IF(J26&gt;0,"FAIL", "ABSENT"))</f>
        <v>PASS</v>
      </c>
      <c r="L26" s="8" t="n">
        <v>82.8</v>
      </c>
      <c r="M26" s="2" t="str">
        <f aca="false">IF(L26&gt;=50,"PASS",IF(L26&gt;0,"FAIL", "ABSENT"))</f>
        <v>PASS</v>
      </c>
      <c r="N26" s="8" t="n">
        <v>45</v>
      </c>
      <c r="O26" s="2" t="str">
        <f aca="false">IF(N26&gt;=25,"PASS",IF(N26&gt;0,"FAIL", "ABSENT"))</f>
        <v>PASS</v>
      </c>
      <c r="P26" s="10" t="n">
        <f aca="false">F26+H26+J26+L26+N26</f>
        <v>339.1</v>
      </c>
      <c r="Q26" s="2" t="str">
        <f aca="false">IF(R26&gt;=50,"PASS",IF(R26&gt;0,"FAIL","ABSENT"))</f>
        <v>PASS</v>
      </c>
      <c r="R26" s="11" t="n">
        <f aca="false">P26/450*100</f>
        <v>75.3555555555556</v>
      </c>
    </row>
    <row r="27" customFormat="false" ht="15.8" hidden="false" customHeight="false" outlineLevel="0" collapsed="false">
      <c r="A27" s="7" t="n">
        <v>3700984</v>
      </c>
      <c r="B27" s="8" t="s">
        <v>60</v>
      </c>
      <c r="C27" s="8" t="s">
        <v>61</v>
      </c>
      <c r="D27" s="8" t="s">
        <v>34</v>
      </c>
      <c r="E27" s="9" t="n">
        <v>46151</v>
      </c>
      <c r="F27" s="8" t="n">
        <v>68.1</v>
      </c>
      <c r="G27" s="2" t="str">
        <f aca="false">IF(F27&gt;=50,"PASS",IF(F27&gt;0,"FAIL", "ABSENT"))</f>
        <v>PASS</v>
      </c>
      <c r="H27" s="8" t="n">
        <v>62.1</v>
      </c>
      <c r="I27" s="2" t="str">
        <f aca="false">IF(H27&gt;=50,"PASS",IF(H27&gt;0,"FAIL", "ABSENT"))</f>
        <v>PASS</v>
      </c>
      <c r="J27" s="8" t="n">
        <v>71.3</v>
      </c>
      <c r="K27" s="2" t="str">
        <f aca="false">IF(J27&gt;=50,"PASS",IF(J27&gt;0,"FAIL", "ABSENT"))</f>
        <v>PASS</v>
      </c>
      <c r="L27" s="8" t="n">
        <v>76</v>
      </c>
      <c r="M27" s="2" t="str">
        <f aca="false">IF(L27&gt;=50,"PASS",IF(L27&gt;0,"FAIL", "ABSENT"))</f>
        <v>PASS</v>
      </c>
      <c r="N27" s="8" t="n">
        <v>41</v>
      </c>
      <c r="O27" s="2" t="str">
        <f aca="false">IF(N27&gt;=25,"PASS",IF(N27&gt;0,"FAIL", "ABSENT"))</f>
        <v>PASS</v>
      </c>
      <c r="P27" s="10" t="n">
        <f aca="false">F27+H27+J27+L27+N27</f>
        <v>318.5</v>
      </c>
      <c r="Q27" s="2" t="str">
        <f aca="false">IF(R27&gt;=50,"PASS",IF(R27&gt;0,"FAIL","ABSENT"))</f>
        <v>PASS</v>
      </c>
      <c r="R27" s="11" t="n">
        <f aca="false">P27/450*100</f>
        <v>70.7777777777778</v>
      </c>
    </row>
    <row r="28" customFormat="false" ht="15.8" hidden="false" customHeight="false" outlineLevel="0" collapsed="false">
      <c r="A28" s="7" t="n">
        <v>3700984</v>
      </c>
      <c r="B28" s="8" t="s">
        <v>62</v>
      </c>
      <c r="C28" s="8" t="s">
        <v>63</v>
      </c>
      <c r="D28" s="8" t="s">
        <v>34</v>
      </c>
      <c r="E28" s="9" t="n">
        <v>46151</v>
      </c>
      <c r="F28" s="8" t="n">
        <v>64.6</v>
      </c>
      <c r="G28" s="2" t="str">
        <f aca="false">IF(F28&gt;=50,"PASS",IF(F28&gt;0,"FAIL", "ABSENT"))</f>
        <v>PASS</v>
      </c>
      <c r="H28" s="8" t="n">
        <v>71.4</v>
      </c>
      <c r="I28" s="2" t="str">
        <f aca="false">IF(H28&gt;=50,"PASS",IF(H28&gt;0,"FAIL", "ABSENT"))</f>
        <v>PASS</v>
      </c>
      <c r="J28" s="8" t="n">
        <v>80.3</v>
      </c>
      <c r="K28" s="2" t="str">
        <f aca="false">IF(J28&gt;=50,"PASS",IF(J28&gt;0,"FAIL", "ABSENT"))</f>
        <v>PASS</v>
      </c>
      <c r="L28" s="8" t="n">
        <v>77.1</v>
      </c>
      <c r="M28" s="2" t="str">
        <f aca="false">IF(L28&gt;=50,"PASS",IF(L28&gt;0,"FAIL", "ABSENT"))</f>
        <v>PASS</v>
      </c>
      <c r="N28" s="8" t="n">
        <v>36</v>
      </c>
      <c r="O28" s="2" t="str">
        <f aca="false">IF(N28&gt;=25,"PASS",IF(N28&gt;0,"FAIL", "ABSENT"))</f>
        <v>PASS</v>
      </c>
      <c r="P28" s="10" t="n">
        <f aca="false">F28+H28+J28+L28+N28</f>
        <v>329.4</v>
      </c>
      <c r="Q28" s="2" t="str">
        <f aca="false">IF(R28&gt;=50,"PASS",IF(R28&gt;0,"FAIL","ABSENT"))</f>
        <v>PASS</v>
      </c>
      <c r="R28" s="11" t="n">
        <f aca="false">P28/450*100</f>
        <v>73.2</v>
      </c>
    </row>
    <row r="29" customFormat="false" ht="15.8" hidden="false" customHeight="false" outlineLevel="0" collapsed="false">
      <c r="A29" s="7" t="n">
        <v>3700984</v>
      </c>
      <c r="B29" s="8" t="s">
        <v>64</v>
      </c>
      <c r="C29" s="8" t="s">
        <v>65</v>
      </c>
      <c r="D29" s="8" t="s">
        <v>34</v>
      </c>
      <c r="E29" s="9" t="n">
        <v>46151</v>
      </c>
      <c r="F29" s="8" t="n">
        <v>68</v>
      </c>
      <c r="G29" s="2" t="str">
        <f aca="false">IF(F29&gt;=50,"PASS",IF(F29&gt;0,"FAIL", "ABSENT"))</f>
        <v>PASS</v>
      </c>
      <c r="H29" s="8" t="n">
        <v>67.2</v>
      </c>
      <c r="I29" s="2" t="str">
        <f aca="false">IF(H29&gt;=50,"PASS",IF(H29&gt;0,"FAIL", "ABSENT"))</f>
        <v>PASS</v>
      </c>
      <c r="J29" s="8" t="n">
        <v>77.2</v>
      </c>
      <c r="K29" s="2" t="str">
        <f aca="false">IF(J29&gt;=50,"PASS",IF(J29&gt;0,"FAIL", "ABSENT"))</f>
        <v>PASS</v>
      </c>
      <c r="L29" s="8" t="n">
        <v>94.6</v>
      </c>
      <c r="M29" s="2" t="str">
        <f aca="false">IF(L29&gt;=50,"PASS",IF(L29&gt;0,"FAIL", "ABSENT"))</f>
        <v>PASS</v>
      </c>
      <c r="N29" s="8" t="n">
        <v>44</v>
      </c>
      <c r="O29" s="2" t="str">
        <f aca="false">IF(N29&gt;=25,"PASS",IF(N29&gt;0,"FAIL", "ABSENT"))</f>
        <v>PASS</v>
      </c>
      <c r="P29" s="10" t="n">
        <f aca="false">F29+H29+J29+L29+N29</f>
        <v>351</v>
      </c>
      <c r="Q29" s="2" t="str">
        <f aca="false">IF(R29&gt;=50,"PASS",IF(R29&gt;0,"FAIL","ABSENT"))</f>
        <v>PASS</v>
      </c>
      <c r="R29" s="11" t="n">
        <f aca="false">P29/450*100</f>
        <v>78</v>
      </c>
    </row>
    <row r="30" customFormat="false" ht="15.8" hidden="false" customHeight="false" outlineLevel="0" collapsed="false">
      <c r="A30" s="7" t="n">
        <v>3700984</v>
      </c>
      <c r="B30" s="8" t="s">
        <v>66</v>
      </c>
      <c r="C30" s="8" t="s">
        <v>67</v>
      </c>
      <c r="D30" s="8" t="s">
        <v>39</v>
      </c>
      <c r="E30" s="9" t="n">
        <v>46151</v>
      </c>
      <c r="F30" s="8" t="n">
        <v>60.7</v>
      </c>
      <c r="G30" s="2" t="str">
        <f aca="false">IF(F30&gt;=50,"PASS",IF(F30&gt;0,"FAIL", "ABSENT"))</f>
        <v>PASS</v>
      </c>
      <c r="H30" s="8" t="n">
        <v>74.8</v>
      </c>
      <c r="I30" s="2" t="str">
        <f aca="false">IF(H30&gt;=50,"PASS",IF(H30&gt;0,"FAIL", "ABSENT"))</f>
        <v>PASS</v>
      </c>
      <c r="J30" s="8" t="n">
        <v>64.9</v>
      </c>
      <c r="K30" s="2" t="str">
        <f aca="false">IF(J30&gt;=50,"PASS",IF(J30&gt;0,"FAIL", "ABSENT"))</f>
        <v>PASS</v>
      </c>
      <c r="L30" s="8" t="n">
        <v>84.4</v>
      </c>
      <c r="M30" s="2" t="str">
        <f aca="false">IF(L30&gt;=50,"PASS",IF(L30&gt;0,"FAIL", "ABSENT"))</f>
        <v>PASS</v>
      </c>
      <c r="N30" s="8" t="n">
        <v>26</v>
      </c>
      <c r="O30" s="2" t="str">
        <f aca="false">IF(N30&gt;=25,"PASS",IF(N30&gt;0,"FAIL", "ABSENT"))</f>
        <v>PASS</v>
      </c>
      <c r="P30" s="10" t="n">
        <f aca="false">F30+H30+J30+L30+N30</f>
        <v>310.8</v>
      </c>
      <c r="Q30" s="2" t="str">
        <f aca="false">IF(R30&gt;=50,"PASS",IF(R30&gt;0,"FAIL","ABSENT"))</f>
        <v>PASS</v>
      </c>
      <c r="R30" s="11" t="n">
        <f aca="false">P30/450*100</f>
        <v>69.0666666666667</v>
      </c>
    </row>
    <row r="31" customFormat="false" ht="15.8" hidden="false" customHeight="false" outlineLevel="0" collapsed="false">
      <c r="A31" s="7" t="n">
        <v>3700984</v>
      </c>
      <c r="B31" s="8" t="s">
        <v>68</v>
      </c>
      <c r="C31" s="8" t="s">
        <v>69</v>
      </c>
      <c r="D31" s="8" t="s">
        <v>34</v>
      </c>
      <c r="E31" s="9" t="n">
        <v>46151</v>
      </c>
      <c r="F31" s="8" t="n">
        <v>61.7</v>
      </c>
      <c r="G31" s="2" t="str">
        <f aca="false">IF(F31&gt;=50,"PASS",IF(F31&gt;0,"FAIL", "ABSENT"))</f>
        <v>PASS</v>
      </c>
      <c r="H31" s="8" t="n">
        <v>81.6</v>
      </c>
      <c r="I31" s="2" t="str">
        <f aca="false">IF(H31&gt;=50,"PASS",IF(H31&gt;0,"FAIL", "ABSENT"))</f>
        <v>PASS</v>
      </c>
      <c r="J31" s="8" t="n">
        <v>70.4</v>
      </c>
      <c r="K31" s="2" t="str">
        <f aca="false">IF(J31&gt;=50,"PASS",IF(J31&gt;0,"FAIL", "ABSENT"))</f>
        <v>PASS</v>
      </c>
      <c r="L31" s="8" t="n">
        <v>55.1</v>
      </c>
      <c r="M31" s="2" t="str">
        <f aca="false">IF(L31&gt;=50,"PASS",IF(L31&gt;0,"FAIL", "ABSENT"))</f>
        <v>PASS</v>
      </c>
      <c r="N31" s="8" t="n">
        <v>26</v>
      </c>
      <c r="O31" s="2" t="str">
        <f aca="false">IF(N31&gt;=25,"PASS",IF(N31&gt;0,"FAIL", "ABSENT"))</f>
        <v>PASS</v>
      </c>
      <c r="P31" s="10" t="n">
        <f aca="false">F31+H31+J31+L31+N31</f>
        <v>294.8</v>
      </c>
      <c r="Q31" s="2" t="str">
        <f aca="false">IF(R31&gt;=50,"PASS",IF(R31&gt;0,"FAIL","ABSENT"))</f>
        <v>PASS</v>
      </c>
      <c r="R31" s="11" t="n">
        <f aca="false">P31/450*100</f>
        <v>65.5111111111111</v>
      </c>
    </row>
    <row r="32" customFormat="false" ht="15.8" hidden="false" customHeight="false" outlineLevel="0" collapsed="false">
      <c r="A32" s="7" t="n">
        <v>3700984</v>
      </c>
      <c r="B32" s="8" t="s">
        <v>70</v>
      </c>
      <c r="C32" s="8" t="s">
        <v>71</v>
      </c>
      <c r="D32" s="8" t="s">
        <v>34</v>
      </c>
      <c r="E32" s="9" t="n">
        <v>46151</v>
      </c>
      <c r="F32" s="8" t="n">
        <v>66.8</v>
      </c>
      <c r="G32" s="2" t="str">
        <f aca="false">IF(F32&gt;=50,"PASS",IF(F32&gt;0,"FAIL", "ABSENT"))</f>
        <v>PASS</v>
      </c>
      <c r="H32" s="8" t="n">
        <v>60.5</v>
      </c>
      <c r="I32" s="2" t="str">
        <f aca="false">IF(H32&gt;=50,"PASS",IF(H32&gt;0,"FAIL", "ABSENT"))</f>
        <v>PASS</v>
      </c>
      <c r="J32" s="8" t="n">
        <v>67.6</v>
      </c>
      <c r="K32" s="2" t="str">
        <f aca="false">IF(J32&gt;=50,"PASS",IF(J32&gt;0,"FAIL", "ABSENT"))</f>
        <v>PASS</v>
      </c>
      <c r="L32" s="8" t="n">
        <v>80.8</v>
      </c>
      <c r="M32" s="2" t="str">
        <f aca="false">IF(L32&gt;=50,"PASS",IF(L32&gt;0,"FAIL", "ABSENT"))</f>
        <v>PASS</v>
      </c>
      <c r="N32" s="8" t="n">
        <v>44</v>
      </c>
      <c r="O32" s="2" t="str">
        <f aca="false">IF(N32&gt;=25,"PASS",IF(N32&gt;0,"FAIL", "ABSENT"))</f>
        <v>PASS</v>
      </c>
      <c r="P32" s="10" t="n">
        <f aca="false">F32+H32+J32+L32+N32</f>
        <v>319.7</v>
      </c>
      <c r="Q32" s="2" t="str">
        <f aca="false">IF(R32&gt;=50,"PASS",IF(R32&gt;0,"FAIL","ABSENT"))</f>
        <v>PASS</v>
      </c>
      <c r="R32" s="11" t="n">
        <f aca="false">P32/450*100</f>
        <v>71.0444444444444</v>
      </c>
    </row>
    <row r="33" customFormat="false" ht="15.8" hidden="false" customHeight="false" outlineLevel="0" collapsed="false">
      <c r="A33" s="7" t="n">
        <v>3700984</v>
      </c>
      <c r="B33" s="8" t="s">
        <v>72</v>
      </c>
      <c r="C33" s="8" t="s">
        <v>73</v>
      </c>
      <c r="D33" s="8" t="s">
        <v>39</v>
      </c>
      <c r="E33" s="9" t="n">
        <v>46151</v>
      </c>
      <c r="F33" s="8" t="n">
        <v>68.2</v>
      </c>
      <c r="G33" s="2" t="str">
        <f aca="false">IF(F33&gt;=50,"PASS",IF(F33&gt;0,"FAIL", "ABSENT"))</f>
        <v>PASS</v>
      </c>
      <c r="H33" s="8" t="n">
        <v>77.9</v>
      </c>
      <c r="I33" s="2" t="str">
        <f aca="false">IF(H33&gt;=50,"PASS",IF(H33&gt;0,"FAIL", "ABSENT"))</f>
        <v>PASS</v>
      </c>
      <c r="J33" s="8" t="n">
        <v>74.9</v>
      </c>
      <c r="K33" s="2" t="str">
        <f aca="false">IF(J33&gt;=50,"PASS",IF(J33&gt;0,"FAIL", "ABSENT"))</f>
        <v>PASS</v>
      </c>
      <c r="L33" s="8" t="n">
        <v>82.4</v>
      </c>
      <c r="M33" s="2" t="str">
        <f aca="false">IF(L33&gt;=50,"PASS",IF(L33&gt;0,"FAIL", "ABSENT"))</f>
        <v>PASS</v>
      </c>
      <c r="N33" s="8" t="n">
        <v>50</v>
      </c>
      <c r="O33" s="2" t="str">
        <f aca="false">IF(N33&gt;=25,"PASS",IF(N33&gt;0,"FAIL", "ABSENT"))</f>
        <v>PASS</v>
      </c>
      <c r="P33" s="10" t="n">
        <f aca="false">F33+H33+J33+L33+N33</f>
        <v>353.4</v>
      </c>
      <c r="Q33" s="2" t="str">
        <f aca="false">IF(R33&gt;=50,"PASS",IF(R33&gt;0,"FAIL","ABSENT"))</f>
        <v>PASS</v>
      </c>
      <c r="R33" s="11" t="n">
        <f aca="false">P33/450*100</f>
        <v>78.5333333333333</v>
      </c>
    </row>
  </sheetData>
  <conditionalFormatting sqref="C15:C33">
    <cfRule type="duplicateValues" priority="2" aboveAverage="0" equalAverage="0" bottom="0" percent="0" rank="0" text="" dxfId="0"/>
  </conditionalFormatting>
  <conditionalFormatting sqref="E14:E33 P14:P33"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12" activeCellId="0" sqref="I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3"/>
    <col collapsed="false" customWidth="true" hidden="false" outlineLevel="0" max="5" min="4" style="0" width="10.85"/>
    <col collapsed="false" customWidth="true" hidden="false" outlineLevel="0" max="6" min="6" style="0" width="10.28"/>
    <col collapsed="false" customWidth="true" hidden="false" outlineLevel="0" max="7" min="7" style="0" width="10.43"/>
  </cols>
  <sheetData>
    <row r="1" customFormat="false" ht="14.45" hidden="false" customHeight="true" outlineLevel="0" collapsed="false">
      <c r="A1" s="12" t="s">
        <v>74</v>
      </c>
      <c r="B1" s="12"/>
      <c r="C1" s="12"/>
      <c r="D1" s="12"/>
      <c r="E1" s="12"/>
      <c r="F1" s="12"/>
      <c r="G1" s="12"/>
    </row>
    <row r="2" customFormat="false" ht="14.45" hidden="false" customHeight="false" outlineLevel="0" collapsed="false">
      <c r="A2" s="13" t="s">
        <v>75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76</v>
      </c>
      <c r="B3" s="15" t="n">
        <f aca="false">score_sheet!B10</f>
        <v>3700984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77</v>
      </c>
      <c r="B4" s="17" t="str">
        <f aca="false">score_sheet!B6</f>
        <v>BSDM</v>
      </c>
      <c r="C4" s="17"/>
      <c r="D4" s="18" t="s">
        <v>78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22</v>
      </c>
      <c r="B5" s="21" t="n">
        <f aca="false">score_sheet!E14</f>
        <v>46151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79</v>
      </c>
      <c r="B6" s="23" t="str">
        <f aca="false">score_sheet!B3</f>
        <v>Digital Mitra</v>
      </c>
      <c r="C6" s="24"/>
      <c r="D6" s="25"/>
      <c r="E6" s="25"/>
      <c r="F6" s="25"/>
      <c r="G6" s="26"/>
    </row>
    <row r="7" customFormat="false" ht="14.45" hidden="false" customHeight="true" outlineLevel="0" collapsed="false">
      <c r="A7" s="14" t="s">
        <v>80</v>
      </c>
      <c r="C7" s="22" t="s">
        <v>29</v>
      </c>
      <c r="D7" s="27" t="s">
        <v>81</v>
      </c>
      <c r="E7" s="27"/>
      <c r="F7" s="12" t="s">
        <v>82</v>
      </c>
      <c r="G7" s="12" t="s">
        <v>83</v>
      </c>
    </row>
    <row r="8" customFormat="false" ht="15" hidden="false" customHeight="false" outlineLevel="0" collapsed="false">
      <c r="A8" s="14"/>
      <c r="B8" s="28" t="s">
        <v>84</v>
      </c>
      <c r="C8" s="29" t="n">
        <f aca="false">COUNT(score_sheet!R14:R33)</f>
        <v>20</v>
      </c>
      <c r="D8" s="27"/>
      <c r="E8" s="27"/>
      <c r="F8" s="30" t="n">
        <f aca="false">COUNTIF(score_sheet!D14:D33,"M")</f>
        <v>12</v>
      </c>
      <c r="G8" s="30" t="n">
        <f aca="false">COUNTIF(score_sheet!D14:D33,"F")</f>
        <v>8</v>
      </c>
    </row>
    <row r="9" customFormat="false" ht="15" hidden="false" customHeight="false" outlineLevel="0" collapsed="false">
      <c r="A9" s="14"/>
      <c r="B9" s="28" t="s">
        <v>85</v>
      </c>
      <c r="C9" s="29" t="n">
        <f aca="false">COUNTIF(score_sheet!Q14:Q33,"PASS")+COUNTIF(score_sheet!Q14:Q33,"FAIL")</f>
        <v>20</v>
      </c>
      <c r="D9" s="27"/>
      <c r="E9" s="27"/>
      <c r="F9" s="30" t="n">
        <f aca="false">COUNTIFS(score_sheet!$D$14:$D$33,"M",score_sheet!$Q$14:$Q$33,"PASS")+COUNTIFS(score_sheet!$D$14:$D$33,"M",score_sheet!$Q$14:$Q$33,"FAIL")</f>
        <v>12</v>
      </c>
      <c r="G9" s="30" t="n">
        <f aca="false">COUNTIFS(score_sheet!$D$14:$D$33,"F",score_sheet!$Q$14:$Q$33,"PASS")+COUNTIFS(score_sheet!$D$14:$D$33,"F",score_sheet!$Q$14:$Q$33,"FAIL")</f>
        <v>8</v>
      </c>
    </row>
    <row r="10" customFormat="false" ht="15" hidden="false" customHeight="false" outlineLevel="0" collapsed="false">
      <c r="A10" s="14"/>
      <c r="B10" s="28" t="s">
        <v>86</v>
      </c>
      <c r="C10" s="29" t="n">
        <f aca="false">COUNTIF(score_sheet!Q14:Q33,"PASS")</f>
        <v>20</v>
      </c>
      <c r="D10" s="27"/>
      <c r="E10" s="27"/>
      <c r="F10" s="30" t="n">
        <f aca="false">COUNTIFS(score_sheet!$D$14:$D$33,"M",score_sheet!$Q$14:$Q$33,"PASS")</f>
        <v>12</v>
      </c>
      <c r="G10" s="30" t="n">
        <f aca="false">COUNTIFS(score_sheet!$D$14:$D$33,"F",score_sheet!$Q$14:$Q$33,"PASS")</f>
        <v>8</v>
      </c>
    </row>
    <row r="11" customFormat="false" ht="14.45" hidden="false" customHeight="false" outlineLevel="0" collapsed="false">
      <c r="A11" s="13" t="s">
        <v>87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88</v>
      </c>
      <c r="C12" s="12" t="s">
        <v>89</v>
      </c>
      <c r="D12" s="12" t="s">
        <v>90</v>
      </c>
      <c r="E12" s="12" t="s">
        <v>91</v>
      </c>
      <c r="F12" s="12" t="s">
        <v>92</v>
      </c>
      <c r="G12" s="12" t="s">
        <v>93</v>
      </c>
    </row>
    <row r="13" customFormat="false" ht="15" hidden="false" customHeight="false" outlineLevel="0" collapsed="false">
      <c r="A13" s="32" t="s">
        <v>94</v>
      </c>
      <c r="B13" s="33" t="n">
        <f aca="false">$C$10/$C$9*100</f>
        <v>100</v>
      </c>
      <c r="C13" s="34" t="n">
        <f aca="false">AVERAGE(score_sheet!F$14:F$33)</f>
        <v>64.47</v>
      </c>
      <c r="D13" s="34" t="n">
        <f aca="false">MIN(score_sheet!F$14:F$33)</f>
        <v>44.2</v>
      </c>
      <c r="E13" s="35" t="n">
        <f aca="false">MAX(score_sheet!F$14:F$33)</f>
        <v>74.3</v>
      </c>
      <c r="F13" s="36" t="n">
        <f aca="false">MEDIAN(score_sheet!F$14:F$33)</f>
        <v>67.05</v>
      </c>
      <c r="G13" s="35" t="n">
        <f aca="false">STDEVP(score_sheet!F$14:F$33)</f>
        <v>6.59439913866305</v>
      </c>
    </row>
    <row r="14" customFormat="false" ht="15" hidden="false" customHeight="false" outlineLevel="0" collapsed="false">
      <c r="A14" s="32" t="s">
        <v>95</v>
      </c>
      <c r="B14" s="33" t="n">
        <f aca="false">$C$10/$C$9*100</f>
        <v>100</v>
      </c>
      <c r="C14" s="34" t="n">
        <f aca="false">AVERAGE(score_sheet!H$14:H$33)</f>
        <v>68.08</v>
      </c>
      <c r="D14" s="34" t="n">
        <f aca="false">MIN(score_sheet!H$14:H$33)</f>
        <v>54</v>
      </c>
      <c r="E14" s="35" t="n">
        <f aca="false">MAX(score_sheet!H$14:H$33)</f>
        <v>81.6</v>
      </c>
      <c r="F14" s="36" t="n">
        <f aca="false">MEDIAN(score_sheet!H$14:H$33)</f>
        <v>66.5</v>
      </c>
      <c r="G14" s="35" t="n">
        <f aca="false">STDEVP(score_sheet!H$14:H$33)</f>
        <v>7.53582112314245</v>
      </c>
    </row>
    <row r="15" customFormat="false" ht="15" hidden="false" customHeight="false" outlineLevel="0" collapsed="false">
      <c r="A15" s="32" t="s">
        <v>96</v>
      </c>
      <c r="B15" s="33" t="n">
        <f aca="false">$C$10/$C$9*100</f>
        <v>100</v>
      </c>
      <c r="C15" s="34" t="n">
        <f aca="false">AVERAGE(score_sheet!J$14:J$33)</f>
        <v>77.255</v>
      </c>
      <c r="D15" s="34" t="n">
        <f aca="false">MIN(score_sheet!J$14:J$33)</f>
        <v>64.9</v>
      </c>
      <c r="E15" s="35" t="n">
        <f aca="false">MAX(score_sheet!J$14:J$33)</f>
        <v>89.7</v>
      </c>
      <c r="F15" s="36" t="n">
        <f aca="false">MEDIAN(score_sheet!J$14:J$33)</f>
        <v>77.4</v>
      </c>
      <c r="G15" s="35" t="n">
        <f aca="false">STDEVP(score_sheet!J$14:J$33)</f>
        <v>6.72625267143601</v>
      </c>
    </row>
    <row r="16" customFormat="false" ht="15" hidden="false" customHeight="false" outlineLevel="0" collapsed="false">
      <c r="A16" s="32" t="s">
        <v>97</v>
      </c>
      <c r="B16" s="33" t="n">
        <f aca="false">$C$10/$C$9*100</f>
        <v>100</v>
      </c>
      <c r="C16" s="34" t="n">
        <f aca="false">AVERAGE(score_sheet!L$14:L$33)</f>
        <v>82.615</v>
      </c>
      <c r="D16" s="34" t="n">
        <f aca="false">MIN(score_sheet!L$14:L$33)</f>
        <v>55.1</v>
      </c>
      <c r="E16" s="35" t="n">
        <f aca="false">MAX(score_sheet!L$14:L$33)</f>
        <v>97.9</v>
      </c>
      <c r="F16" s="36" t="n">
        <f aca="false">MEDIAN(score_sheet!L$14:L$33)</f>
        <v>82.95</v>
      </c>
      <c r="G16" s="35" t="n">
        <f aca="false">STDEVP(score_sheet!L$14:L$33)</f>
        <v>8.97982600054144</v>
      </c>
    </row>
    <row r="17" customFormat="false" ht="15" hidden="false" customHeight="false" outlineLevel="0" collapsed="false">
      <c r="A17" s="32" t="s">
        <v>98</v>
      </c>
      <c r="B17" s="33" t="n">
        <f aca="false">$C$10/$C$9*100</f>
        <v>100</v>
      </c>
      <c r="C17" s="34" t="n">
        <f aca="false">AVERAGE(score_sheet!N$14:N$33)</f>
        <v>38.9</v>
      </c>
      <c r="D17" s="34" t="n">
        <f aca="false">MIN(score_sheet!N$14:N$33)</f>
        <v>26</v>
      </c>
      <c r="E17" s="35" t="n">
        <f aca="false">MAX(score_sheet!N$14:N$33)</f>
        <v>50</v>
      </c>
      <c r="F17" s="36" t="n">
        <f aca="false">MEDIAN(score_sheet!N$14:N$33)</f>
        <v>41.5</v>
      </c>
      <c r="G17" s="35" t="n">
        <f aca="false">STDEVP(score_sheet!N$14:N$33)</f>
        <v>8.0492235650403</v>
      </c>
    </row>
    <row r="18" customFormat="false" ht="15" hidden="false" customHeight="false" outlineLevel="0" collapsed="false">
      <c r="A18" s="13" t="s">
        <v>99</v>
      </c>
      <c r="B18" s="13"/>
      <c r="C18" s="13"/>
      <c r="D18" s="13"/>
      <c r="E18" s="13"/>
      <c r="F18" s="13"/>
      <c r="G18" s="13"/>
    </row>
    <row r="19" customFormat="false" ht="14.4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" hidden="false" customHeight="true" outlineLevel="0" collapsed="false">
      <c r="A20" s="39" t="s">
        <v>94</v>
      </c>
      <c r="B20" s="8" t="s">
        <v>100</v>
      </c>
      <c r="C20" s="8" t="s">
        <v>101</v>
      </c>
      <c r="D20" s="8" t="s">
        <v>102</v>
      </c>
      <c r="E20" s="8" t="s">
        <v>103</v>
      </c>
      <c r="F20" s="40"/>
      <c r="G20" s="40"/>
    </row>
    <row r="21" customFormat="false" ht="15" hidden="false" customHeight="false" outlineLevel="0" collapsed="false">
      <c r="A21" s="39"/>
      <c r="B21" s="40"/>
      <c r="C21" s="40"/>
      <c r="D21" s="40"/>
      <c r="E21" s="40"/>
      <c r="F21" s="40"/>
      <c r="G21" s="40"/>
    </row>
    <row r="22" customFormat="false" ht="15" hidden="false" customHeight="false" outlineLevel="0" collapsed="false">
      <c r="A22" s="39"/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A23" s="39" t="s">
        <v>95</v>
      </c>
      <c r="B23" s="8" t="s">
        <v>104</v>
      </c>
      <c r="C23" s="8" t="s">
        <v>105</v>
      </c>
      <c r="D23" s="8" t="s">
        <v>106</v>
      </c>
      <c r="E23" s="40"/>
      <c r="F23" s="40"/>
      <c r="G23" s="40"/>
    </row>
    <row r="24" customFormat="false" ht="15" hidden="false" customHeight="false" outlineLevel="0" collapsed="false">
      <c r="A24" s="39"/>
      <c r="B24" s="40"/>
      <c r="C24" s="40"/>
      <c r="D24" s="40"/>
      <c r="E24" s="40"/>
      <c r="F24" s="40"/>
      <c r="G24" s="40"/>
    </row>
    <row r="25" customFormat="false" ht="15" hidden="false" customHeight="false" outlineLevel="0" collapsed="false">
      <c r="A25" s="39"/>
      <c r="B25" s="40"/>
      <c r="C25" s="40"/>
      <c r="D25" s="40"/>
      <c r="E25" s="40"/>
      <c r="F25" s="40"/>
      <c r="G25" s="40"/>
    </row>
    <row r="26" customFormat="false" ht="15" hidden="false" customHeight="true" outlineLevel="0" collapsed="false">
      <c r="A26" s="39" t="s">
        <v>96</v>
      </c>
      <c r="B26" s="8" t="s">
        <v>106</v>
      </c>
      <c r="C26" s="8" t="s">
        <v>102</v>
      </c>
      <c r="D26" s="8" t="s">
        <v>107</v>
      </c>
      <c r="E26" s="8" t="s">
        <v>108</v>
      </c>
      <c r="F26" s="8" t="s">
        <v>103</v>
      </c>
      <c r="G26" s="40"/>
    </row>
    <row r="27" customFormat="false" ht="15" hidden="false" customHeight="false" outlineLevel="0" collapsed="false">
      <c r="A27" s="39"/>
      <c r="B27" s="40"/>
      <c r="C27" s="40"/>
      <c r="D27" s="40"/>
      <c r="E27" s="40"/>
      <c r="F27" s="40"/>
      <c r="G27" s="40"/>
    </row>
    <row r="28" customFormat="false" ht="15" hidden="false" customHeight="false" outlineLevel="0" collapsed="false">
      <c r="A28" s="39"/>
      <c r="B28" s="40"/>
      <c r="C28" s="40"/>
      <c r="D28" s="40"/>
      <c r="E28" s="40"/>
      <c r="F28" s="40"/>
      <c r="G28" s="40"/>
    </row>
    <row r="29" customFormat="false" ht="15" hidden="false" customHeight="true" outlineLevel="0" collapsed="false">
      <c r="A29" s="39" t="s">
        <v>97</v>
      </c>
      <c r="B29" s="8" t="s">
        <v>109</v>
      </c>
      <c r="C29" s="8" t="s">
        <v>110</v>
      </c>
      <c r="D29" s="40"/>
      <c r="E29" s="40"/>
      <c r="F29" s="40"/>
      <c r="G29" s="40"/>
    </row>
    <row r="30" customFormat="false" ht="15" hidden="false" customHeight="false" outlineLevel="0" collapsed="false">
      <c r="A30" s="39"/>
      <c r="B30" s="40"/>
      <c r="C30" s="40"/>
      <c r="D30" s="40"/>
      <c r="E30" s="40"/>
      <c r="F30" s="40"/>
      <c r="G30" s="40"/>
    </row>
    <row r="31" customFormat="false" ht="15" hidden="false" customHeight="false" outlineLevel="0" collapsed="false">
      <c r="A31" s="39"/>
      <c r="B31" s="40"/>
      <c r="C31" s="40"/>
      <c r="D31" s="40"/>
      <c r="E31" s="40"/>
      <c r="F31" s="40"/>
      <c r="G31" s="40"/>
    </row>
    <row r="32" customFormat="false" ht="15" hidden="false" customHeight="true" outlineLevel="0" collapsed="false">
      <c r="A32" s="39" t="s">
        <v>98</v>
      </c>
      <c r="B32" s="40" t="s">
        <v>111</v>
      </c>
      <c r="C32" s="40" t="s">
        <v>112</v>
      </c>
      <c r="D32" s="40"/>
      <c r="E32" s="40"/>
      <c r="F32" s="40"/>
      <c r="G32" s="40"/>
    </row>
    <row r="33" customFormat="false" ht="15" hidden="false" customHeight="false" outlineLevel="0" collapsed="false">
      <c r="A33" s="39"/>
      <c r="B33" s="40"/>
      <c r="C33" s="40"/>
      <c r="D33" s="40"/>
      <c r="E33" s="40"/>
      <c r="F33" s="40"/>
      <c r="G33" s="40"/>
    </row>
    <row r="34" customFormat="false" ht="15" hidden="false" customHeight="false" outlineLevel="0" collapsed="false">
      <c r="A34" s="39"/>
      <c r="B34" s="40"/>
      <c r="C34" s="40"/>
      <c r="D34" s="40"/>
      <c r="E34" s="40"/>
      <c r="F34" s="40"/>
      <c r="G34" s="40"/>
    </row>
    <row r="35" customFormat="false" ht="15" hidden="false" customHeight="false" outlineLevel="0" collapsed="false">
      <c r="A35" s="13" t="s">
        <v>113</v>
      </c>
      <c r="B35" s="13"/>
      <c r="C35" s="13"/>
      <c r="D35" s="13"/>
      <c r="E35" s="13"/>
      <c r="F35" s="13"/>
      <c r="G35" s="13"/>
    </row>
    <row r="36" customFormat="false" ht="15" hidden="false" customHeight="true" outlineLevel="0" collapsed="false">
      <c r="A36" s="39" t="s">
        <v>94</v>
      </c>
      <c r="B36" s="8" t="s">
        <v>114</v>
      </c>
      <c r="C36" s="8" t="s">
        <v>112</v>
      </c>
      <c r="D36" s="8" t="s">
        <v>108</v>
      </c>
      <c r="E36" s="8" t="s">
        <v>115</v>
      </c>
      <c r="F36" s="8" t="s">
        <v>116</v>
      </c>
      <c r="G36" s="8" t="s">
        <v>107</v>
      </c>
    </row>
    <row r="37" customFormat="false" ht="15" hidden="false" customHeight="false" outlineLevel="0" collapsed="false">
      <c r="A37" s="39"/>
      <c r="B37" s="40"/>
      <c r="C37" s="40"/>
      <c r="D37" s="40"/>
      <c r="E37" s="40"/>
      <c r="F37" s="40"/>
      <c r="G37" s="40"/>
    </row>
    <row r="38" customFormat="false" ht="15" hidden="false" customHeight="false" outlineLevel="0" collapsed="false">
      <c r="A38" s="39"/>
      <c r="B38" s="40"/>
      <c r="C38" s="40"/>
      <c r="D38" s="40"/>
      <c r="E38" s="40"/>
      <c r="F38" s="40"/>
      <c r="G38" s="40"/>
    </row>
    <row r="39" customFormat="false" ht="15" hidden="false" customHeight="true" outlineLevel="0" collapsed="false">
      <c r="A39" s="39" t="s">
        <v>95</v>
      </c>
      <c r="B39" s="8" t="s">
        <v>109</v>
      </c>
      <c r="C39" s="8" t="s">
        <v>117</v>
      </c>
      <c r="D39" s="8" t="s">
        <v>100</v>
      </c>
      <c r="E39" s="8" t="s">
        <v>107</v>
      </c>
      <c r="F39" s="40"/>
      <c r="G39" s="40"/>
    </row>
    <row r="40" customFormat="false" ht="15" hidden="false" customHeight="false" outlineLevel="0" collapsed="false">
      <c r="A40" s="39"/>
      <c r="B40" s="40"/>
      <c r="C40" s="40"/>
      <c r="D40" s="40"/>
      <c r="E40" s="40"/>
      <c r="F40" s="40"/>
      <c r="G40" s="40"/>
    </row>
    <row r="41" customFormat="false" ht="15" hidden="false" customHeight="false" outlineLevel="0" collapsed="false">
      <c r="A41" s="39"/>
      <c r="B41" s="40"/>
      <c r="C41" s="40"/>
      <c r="D41" s="40"/>
      <c r="E41" s="40"/>
      <c r="F41" s="40"/>
      <c r="G41" s="40"/>
    </row>
    <row r="42" customFormat="false" ht="15" hidden="false" customHeight="true" outlineLevel="0" collapsed="false">
      <c r="A42" s="39" t="s">
        <v>96</v>
      </c>
      <c r="B42" s="8" t="s">
        <v>118</v>
      </c>
      <c r="C42" s="8" t="s">
        <v>105</v>
      </c>
      <c r="D42" s="40"/>
      <c r="E42" s="40"/>
      <c r="F42" s="40"/>
      <c r="G42" s="40"/>
    </row>
    <row r="43" customFormat="false" ht="15" hidden="false" customHeight="false" outlineLevel="0" collapsed="false">
      <c r="A43" s="39"/>
      <c r="B43" s="40"/>
      <c r="C43" s="40"/>
      <c r="D43" s="40"/>
      <c r="E43" s="40"/>
      <c r="F43" s="40"/>
      <c r="G43" s="40"/>
    </row>
    <row r="44" customFormat="false" ht="15" hidden="false" customHeight="false" outlineLevel="0" collapsed="false">
      <c r="A44" s="39"/>
      <c r="B44" s="40"/>
      <c r="C44" s="40"/>
      <c r="D44" s="40"/>
      <c r="E44" s="40"/>
      <c r="F44" s="40"/>
      <c r="G44" s="40"/>
    </row>
    <row r="45" customFormat="false" ht="15" hidden="false" customHeight="true" outlineLevel="0" collapsed="false">
      <c r="A45" s="39" t="s">
        <v>97</v>
      </c>
      <c r="B45" s="8" t="s">
        <v>104</v>
      </c>
      <c r="C45" s="8" t="s">
        <v>112</v>
      </c>
      <c r="D45" s="40"/>
      <c r="E45" s="40"/>
      <c r="F45" s="40"/>
      <c r="G45" s="40"/>
    </row>
    <row r="46" customFormat="false" ht="15" hidden="false" customHeight="false" outlineLevel="0" collapsed="false">
      <c r="A46" s="39"/>
      <c r="B46" s="40"/>
      <c r="C46" s="40"/>
      <c r="D46" s="40"/>
      <c r="E46" s="40"/>
      <c r="F46" s="40"/>
      <c r="G46" s="40"/>
    </row>
    <row r="47" customFormat="false" ht="15" hidden="false" customHeight="false" outlineLevel="0" collapsed="false">
      <c r="A47" s="39"/>
      <c r="B47" s="40"/>
      <c r="C47" s="40"/>
      <c r="D47" s="40"/>
      <c r="E47" s="40"/>
      <c r="F47" s="40"/>
      <c r="G47" s="40"/>
    </row>
    <row r="48" customFormat="false" ht="15" hidden="false" customHeight="true" outlineLevel="0" collapsed="false">
      <c r="A48" s="39" t="s">
        <v>98</v>
      </c>
      <c r="B48" s="40" t="s">
        <v>119</v>
      </c>
      <c r="C48" s="40" t="s">
        <v>100</v>
      </c>
      <c r="D48" s="40" t="s">
        <v>118</v>
      </c>
      <c r="E48" s="40" t="s">
        <v>120</v>
      </c>
      <c r="F48" s="40" t="s">
        <v>109</v>
      </c>
      <c r="G48" s="40" t="s">
        <v>107</v>
      </c>
    </row>
    <row r="49" customFormat="false" ht="15" hidden="false" customHeight="false" outlineLevel="0" collapsed="false">
      <c r="A49" s="39"/>
      <c r="B49" s="40"/>
      <c r="C49" s="40"/>
      <c r="D49" s="40"/>
      <c r="E49" s="40"/>
      <c r="F49" s="40"/>
      <c r="G49" s="40"/>
    </row>
    <row r="50" customFormat="false" ht="15" hidden="false" customHeight="false" outlineLevel="0" collapsed="false">
      <c r="A50" s="39"/>
      <c r="B50" s="40"/>
      <c r="C50" s="40"/>
      <c r="D50" s="40"/>
      <c r="E50" s="40"/>
      <c r="F50" s="40"/>
      <c r="G50" s="40"/>
    </row>
    <row r="51" customFormat="false" ht="13.8" hidden="false" customHeight="false" outlineLevel="0" collapsed="false">
      <c r="A51" s="13" t="s">
        <v>121</v>
      </c>
      <c r="B51" s="13"/>
      <c r="C51" s="13"/>
      <c r="D51" s="13"/>
      <c r="E51" s="13"/>
      <c r="F51" s="13"/>
      <c r="G51" s="13"/>
    </row>
    <row r="52" customFormat="false" ht="15" hidden="false" customHeight="true" outlineLevel="0" collapsed="false">
      <c r="A52" s="39" t="s">
        <v>94</v>
      </c>
      <c r="B52" s="8" t="s">
        <v>105</v>
      </c>
      <c r="C52" s="40"/>
      <c r="D52" s="40"/>
      <c r="E52" s="40"/>
      <c r="F52" s="40"/>
      <c r="G52" s="40"/>
    </row>
    <row r="53" customFormat="false" ht="15" hidden="false" customHeight="false" outlineLevel="0" collapsed="false">
      <c r="A53" s="39"/>
      <c r="B53" s="40"/>
      <c r="C53" s="40"/>
      <c r="D53" s="40"/>
      <c r="E53" s="40"/>
      <c r="F53" s="40"/>
      <c r="G53" s="40"/>
    </row>
    <row r="54" customFormat="false" ht="15" hidden="false" customHeight="false" outlineLevel="0" collapsed="false">
      <c r="A54" s="39"/>
      <c r="B54" s="40"/>
      <c r="C54" s="40"/>
      <c r="D54" s="40"/>
      <c r="E54" s="40"/>
      <c r="F54" s="40"/>
      <c r="G54" s="40"/>
    </row>
    <row r="55" customFormat="false" ht="15" hidden="false" customHeight="true" outlineLevel="0" collapsed="false">
      <c r="A55" s="39" t="s">
        <v>95</v>
      </c>
      <c r="B55" s="8" t="s">
        <v>112</v>
      </c>
      <c r="C55" s="8" t="s">
        <v>110</v>
      </c>
      <c r="D55" s="8" t="s">
        <v>118</v>
      </c>
      <c r="E55" s="40"/>
      <c r="F55" s="40"/>
      <c r="G55" s="40"/>
    </row>
    <row r="56" customFormat="false" ht="15" hidden="false" customHeight="false" outlineLevel="0" collapsed="false">
      <c r="A56" s="39"/>
      <c r="B56" s="40"/>
      <c r="C56" s="40"/>
      <c r="D56" s="40"/>
      <c r="E56" s="40"/>
      <c r="F56" s="40"/>
      <c r="G56" s="40"/>
    </row>
    <row r="57" customFormat="false" ht="15" hidden="false" customHeight="false" outlineLevel="0" collapsed="false">
      <c r="A57" s="39"/>
      <c r="B57" s="40"/>
      <c r="C57" s="40"/>
      <c r="D57" s="40"/>
      <c r="E57" s="40"/>
      <c r="F57" s="40"/>
      <c r="G57" s="40"/>
    </row>
    <row r="58" customFormat="false" ht="15" hidden="false" customHeight="true" outlineLevel="0" collapsed="false">
      <c r="A58" s="39" t="s">
        <v>96</v>
      </c>
      <c r="B58" s="8" t="s">
        <v>120</v>
      </c>
      <c r="C58" s="8" t="s">
        <v>122</v>
      </c>
      <c r="D58" s="8" t="s">
        <v>123</v>
      </c>
      <c r="E58" s="8" t="s">
        <v>124</v>
      </c>
      <c r="F58" s="8" t="s">
        <v>100</v>
      </c>
      <c r="G58" s="40"/>
    </row>
    <row r="59" customFormat="false" ht="15" hidden="false" customHeight="false" outlineLevel="0" collapsed="false">
      <c r="A59" s="39"/>
      <c r="B59" s="40"/>
      <c r="C59" s="40"/>
      <c r="D59" s="40"/>
      <c r="E59" s="40"/>
      <c r="F59" s="40"/>
      <c r="G59" s="40"/>
    </row>
    <row r="60" customFormat="false" ht="15" hidden="false" customHeight="false" outlineLevel="0" collapsed="false">
      <c r="A60" s="39"/>
      <c r="B60" s="40"/>
      <c r="C60" s="40"/>
      <c r="D60" s="40"/>
      <c r="E60" s="40"/>
      <c r="F60" s="40"/>
      <c r="G60" s="40"/>
    </row>
    <row r="61" customFormat="false" ht="15" hidden="false" customHeight="true" outlineLevel="0" collapsed="false">
      <c r="A61" s="39" t="s">
        <v>97</v>
      </c>
      <c r="B61" s="8" t="s">
        <v>119</v>
      </c>
      <c r="C61" s="8" t="s">
        <v>114</v>
      </c>
      <c r="D61" s="8" t="s">
        <v>107</v>
      </c>
      <c r="E61" s="8" t="s">
        <v>106</v>
      </c>
      <c r="F61" s="8" t="s">
        <v>100</v>
      </c>
      <c r="G61" s="8" t="s">
        <v>120</v>
      </c>
    </row>
    <row r="62" customFormat="false" ht="15" hidden="false" customHeight="false" outlineLevel="0" collapsed="false">
      <c r="A62" s="39"/>
      <c r="B62" s="40"/>
      <c r="C62" s="40"/>
      <c r="D62" s="40"/>
      <c r="E62" s="40"/>
      <c r="F62" s="40"/>
      <c r="G62" s="40"/>
    </row>
    <row r="63" customFormat="false" ht="15" hidden="false" customHeight="false" outlineLevel="0" collapsed="false">
      <c r="A63" s="39"/>
      <c r="B63" s="40"/>
      <c r="C63" s="40"/>
      <c r="D63" s="40"/>
      <c r="E63" s="40"/>
      <c r="F63" s="40"/>
      <c r="G63" s="40"/>
    </row>
    <row r="64" customFormat="false" ht="15" hidden="false" customHeight="true" outlineLevel="0" collapsed="false">
      <c r="A64" s="39" t="s">
        <v>98</v>
      </c>
      <c r="B64" s="8" t="s">
        <v>104</v>
      </c>
      <c r="C64" s="8" t="s">
        <v>114</v>
      </c>
      <c r="D64" s="8" t="s">
        <v>110</v>
      </c>
      <c r="E64" s="8" t="s">
        <v>106</v>
      </c>
      <c r="F64" s="8"/>
      <c r="G64" s="40"/>
    </row>
    <row r="65" customFormat="false" ht="15" hidden="false" customHeight="false" outlineLevel="0" collapsed="false">
      <c r="A65" s="39"/>
      <c r="B65" s="40"/>
      <c r="C65" s="40"/>
      <c r="D65" s="40"/>
      <c r="E65" s="40"/>
      <c r="F65" s="40"/>
      <c r="G65" s="40"/>
    </row>
    <row r="66" customFormat="false" ht="15" hidden="false" customHeight="false" outlineLevel="0" collapsed="false">
      <c r="A66" s="39"/>
      <c r="B66" s="40"/>
      <c r="C66" s="40"/>
      <c r="D66" s="40"/>
      <c r="E66" s="40"/>
      <c r="F66" s="40"/>
      <c r="G66" s="40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1" t="s">
        <v>76</v>
      </c>
      <c r="B1" s="41" t="n">
        <f aca="false">score_sheet!B10</f>
        <v>3700984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2026-05-11T18:22:44Z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