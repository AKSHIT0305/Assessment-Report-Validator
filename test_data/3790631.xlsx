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mta\PMKVY\IT\2026\June'26\Result\3790631-16-June-26\"/>
    </mc:Choice>
  </mc:AlternateContent>
  <xr:revisionPtr revIDLastSave="0" documentId="13_ncr:1_{D257611F-990E-4A50-8945-EE8DAE7C967D}" xr6:coauthVersionLast="47" xr6:coauthVersionMax="47" xr10:uidLastSave="{00000000-0000-0000-0000-000000000000}"/>
  <bookViews>
    <workbookView showHorizontalScroll="0" showVerticalScroll="0" xWindow="-120" yWindow="-120" windowWidth="20730" windowHeight="11160" xr2:uid="{00000000-000D-0000-FFFF-FFFF00000000}"/>
  </bookViews>
  <sheets>
    <sheet name="Result" sheetId="1" r:id="rId1"/>
    <sheet name="Analysis-Tabular" sheetId="2" r:id="rId2"/>
    <sheet name="Analysis - Graph" sheetId="3" r:id="rId3"/>
    <sheet name="PC-Wise Mean Med" sheetId="4" state="hidden" r:id="rId4"/>
    <sheet name="PC-Wise" sheetId="6" state="hidden" r:id="rId5"/>
  </sheets>
  <definedNames>
    <definedName name="_xlnm._FilterDatabase" localSheetId="4" hidden="1">'PC-Wise'!$A$2:$H$35</definedName>
    <definedName name="_xlnm._FilterDatabase" localSheetId="0" hidden="1">Result!$N$14:$N$24</definedName>
  </definedNames>
  <calcPr calcId="191029"/>
</workbook>
</file>

<file path=xl/calcChain.xml><?xml version="1.0" encoding="utf-8"?>
<calcChain xmlns="http://schemas.openxmlformats.org/spreadsheetml/2006/main">
  <c r="K16" i="1" l="1"/>
  <c r="L16" i="1"/>
  <c r="M16" i="1" s="1"/>
  <c r="N16" i="1" s="1"/>
  <c r="K17" i="1"/>
  <c r="L17" i="1"/>
  <c r="M17" i="1" s="1"/>
  <c r="N17" i="1" s="1"/>
  <c r="K18" i="1"/>
  <c r="L18" i="1"/>
  <c r="M18" i="1" s="1"/>
  <c r="N18" i="1" s="1"/>
  <c r="K19" i="1"/>
  <c r="L19" i="1"/>
  <c r="M19" i="1" s="1"/>
  <c r="N19" i="1" s="1"/>
  <c r="K20" i="1"/>
  <c r="L20" i="1"/>
  <c r="M20" i="1" s="1"/>
  <c r="N20" i="1" s="1"/>
  <c r="K21" i="1"/>
  <c r="L21" i="1"/>
  <c r="M21" i="1" s="1"/>
  <c r="N21" i="1" s="1"/>
  <c r="K22" i="1"/>
  <c r="L22" i="1"/>
  <c r="M22" i="1" s="1"/>
  <c r="N22" i="1" s="1"/>
  <c r="K23" i="1"/>
  <c r="L23" i="1"/>
  <c r="M23" i="1" s="1"/>
  <c r="N23" i="1" s="1"/>
  <c r="K24" i="1"/>
  <c r="L24" i="1"/>
  <c r="M24" i="1" s="1"/>
  <c r="N24" i="1" s="1"/>
  <c r="I16" i="1"/>
  <c r="I17" i="1"/>
  <c r="I18" i="1"/>
  <c r="I19" i="1"/>
  <c r="I20" i="1"/>
  <c r="I21" i="1"/>
  <c r="I22" i="1"/>
  <c r="I23" i="1"/>
  <c r="I24" i="1"/>
  <c r="G14" i="2"/>
  <c r="F14" i="2"/>
  <c r="E14" i="2"/>
  <c r="D14" i="2"/>
  <c r="C14" i="2"/>
  <c r="G13" i="2"/>
  <c r="F13" i="2"/>
  <c r="E13" i="2"/>
  <c r="D13" i="2"/>
  <c r="C13" i="2"/>
  <c r="G8" i="2"/>
  <c r="F8" i="2"/>
  <c r="L15" i="1"/>
  <c r="M15" i="1" s="1"/>
  <c r="N15" i="1" s="1"/>
  <c r="K15" i="1"/>
  <c r="XEZ9" i="2" s="1"/>
  <c r="I15" i="1"/>
  <c r="XEZ8" i="2" l="1"/>
  <c r="F10" i="2"/>
  <c r="G9" i="2"/>
  <c r="C15" i="2"/>
  <c r="XEZ10" i="2"/>
  <c r="G10" i="2"/>
  <c r="E15" i="2"/>
  <c r="XEZ11" i="2"/>
  <c r="F9" i="2"/>
  <c r="F15" i="2"/>
  <c r="XEZ12" i="2"/>
  <c r="G15" i="2"/>
  <c r="D15" i="2"/>
  <c r="B1" i="3"/>
  <c r="B3" i="2"/>
  <c r="B5" i="2" l="1"/>
  <c r="XFA8" i="2" l="1"/>
  <c r="B13" i="2" s="1"/>
  <c r="C10" i="2"/>
  <c r="C8" i="2"/>
  <c r="D33" i="6" s="1"/>
  <c r="F33" i="6" s="1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I4" i="4" s="1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S4" i="4" s="1"/>
  <c r="AR16" i="4"/>
  <c r="AQ16" i="4"/>
  <c r="AP16" i="4"/>
  <c r="AO16" i="4"/>
  <c r="BU14" i="4"/>
  <c r="BT14" i="4"/>
  <c r="BS14" i="4"/>
  <c r="BR14" i="4"/>
  <c r="BR4" i="4" s="1"/>
  <c r="BQ14" i="4"/>
  <c r="BP14" i="4"/>
  <c r="BO14" i="4"/>
  <c r="BN14" i="4"/>
  <c r="BN4" i="4" s="1"/>
  <c r="BM14" i="4"/>
  <c r="BL14" i="4"/>
  <c r="BK14" i="4"/>
  <c r="BJ14" i="4"/>
  <c r="BJ4" i="4" s="1"/>
  <c r="BI14" i="4"/>
  <c r="BH14" i="4"/>
  <c r="BG14" i="4"/>
  <c r="BF14" i="4"/>
  <c r="BF4" i="4" s="1"/>
  <c r="BE14" i="4"/>
  <c r="BD14" i="4"/>
  <c r="BC14" i="4"/>
  <c r="BB14" i="4"/>
  <c r="BB4" i="4" s="1"/>
  <c r="BA14" i="4"/>
  <c r="AZ14" i="4"/>
  <c r="AY14" i="4"/>
  <c r="AX14" i="4"/>
  <c r="AX4" i="4" s="1"/>
  <c r="AW14" i="4"/>
  <c r="AV14" i="4"/>
  <c r="AU14" i="4"/>
  <c r="AT14" i="4"/>
  <c r="AT4" i="4" s="1"/>
  <c r="AS14" i="4"/>
  <c r="AR14" i="4"/>
  <c r="AQ14" i="4"/>
  <c r="AP14" i="4"/>
  <c r="AP4" i="4" s="1"/>
  <c r="AO14" i="4"/>
  <c r="BU12" i="4"/>
  <c r="BT12" i="4"/>
  <c r="BS12" i="4"/>
  <c r="BS3" i="4" s="1"/>
  <c r="BS2" i="4" s="1"/>
  <c r="BR12" i="4"/>
  <c r="BQ12" i="4"/>
  <c r="BP12" i="4"/>
  <c r="BO12" i="4"/>
  <c r="BO4" i="4" s="1"/>
  <c r="BN12" i="4"/>
  <c r="BM12" i="4"/>
  <c r="BL12" i="4"/>
  <c r="BK12" i="4"/>
  <c r="BK3" i="4" s="1"/>
  <c r="BK2" i="4" s="1"/>
  <c r="BJ12" i="4"/>
  <c r="BI12" i="4"/>
  <c r="BH12" i="4"/>
  <c r="BG12" i="4"/>
  <c r="BG4" i="4" s="1"/>
  <c r="BF12" i="4"/>
  <c r="BE12" i="4"/>
  <c r="BD12" i="4"/>
  <c r="BC12" i="4"/>
  <c r="BC3" i="4" s="1"/>
  <c r="BC2" i="4" s="1"/>
  <c r="BB12" i="4"/>
  <c r="BA12" i="4"/>
  <c r="AZ12" i="4"/>
  <c r="AY12" i="4"/>
  <c r="AY4" i="4" s="1"/>
  <c r="AX12" i="4"/>
  <c r="AW12" i="4"/>
  <c r="AV12" i="4"/>
  <c r="AU12" i="4"/>
  <c r="AU3" i="4" s="1"/>
  <c r="AU2" i="4" s="1"/>
  <c r="AT12" i="4"/>
  <c r="AS12" i="4"/>
  <c r="AR12" i="4"/>
  <c r="AQ12" i="4"/>
  <c r="AQ4" i="4" s="1"/>
  <c r="AP12" i="4"/>
  <c r="AO12" i="4"/>
  <c r="BU10" i="4"/>
  <c r="BT10" i="4"/>
  <c r="BT4" i="4" s="1"/>
  <c r="BS10" i="4"/>
  <c r="BR10" i="4"/>
  <c r="BQ10" i="4"/>
  <c r="BP10" i="4"/>
  <c r="BP4" i="4" s="1"/>
  <c r="BO10" i="4"/>
  <c r="BN10" i="4"/>
  <c r="BM10" i="4"/>
  <c r="BM4" i="4" s="1"/>
  <c r="BL10" i="4"/>
  <c r="BL4" i="4" s="1"/>
  <c r="BK10" i="4"/>
  <c r="BJ10" i="4"/>
  <c r="BI10" i="4"/>
  <c r="BH10" i="4"/>
  <c r="BH4" i="4" s="1"/>
  <c r="BG10" i="4"/>
  <c r="BF10" i="4"/>
  <c r="BE10" i="4"/>
  <c r="BD10" i="4"/>
  <c r="BD4" i="4" s="1"/>
  <c r="BC10" i="4"/>
  <c r="BB10" i="4"/>
  <c r="BA10" i="4"/>
  <c r="AZ10" i="4"/>
  <c r="AZ4" i="4" s="1"/>
  <c r="AY10" i="4"/>
  <c r="AX10" i="4"/>
  <c r="AW10" i="4"/>
  <c r="AW4" i="4" s="1"/>
  <c r="AV10" i="4"/>
  <c r="AV4" i="4" s="1"/>
  <c r="AU10" i="4"/>
  <c r="AT10" i="4"/>
  <c r="AS10" i="4"/>
  <c r="AR10" i="4"/>
  <c r="AR4" i="4" s="1"/>
  <c r="AQ10" i="4"/>
  <c r="AP10" i="4"/>
  <c r="AO10" i="4"/>
  <c r="BU4" i="4"/>
  <c r="BE4" i="4"/>
  <c r="AO4" i="4"/>
  <c r="BF3" i="4"/>
  <c r="BF2" i="4" s="1"/>
  <c r="AP3" i="4"/>
  <c r="AP2" i="4" s="1"/>
  <c r="BJ3" i="4" l="1"/>
  <c r="BJ2" i="4" s="1"/>
  <c r="AS3" i="4"/>
  <c r="AS2" i="4" s="1"/>
  <c r="BA3" i="4"/>
  <c r="BA2" i="4" s="1"/>
  <c r="BI3" i="4"/>
  <c r="BI2" i="4" s="1"/>
  <c r="BQ3" i="4"/>
  <c r="BQ2" i="4" s="1"/>
  <c r="AX3" i="4"/>
  <c r="AX2" i="4" s="1"/>
  <c r="BN3" i="4"/>
  <c r="BN2" i="4" s="1"/>
  <c r="AT3" i="4"/>
  <c r="AT2" i="4" s="1"/>
  <c r="AO3" i="4"/>
  <c r="AO2" i="4" s="1"/>
  <c r="AW3" i="4"/>
  <c r="AW2" i="4" s="1"/>
  <c r="BE3" i="4"/>
  <c r="BE2" i="4" s="1"/>
  <c r="BM3" i="4"/>
  <c r="BM2" i="4" s="1"/>
  <c r="BU3" i="4"/>
  <c r="BU2" i="4" s="1"/>
  <c r="BB3" i="4"/>
  <c r="BB2" i="4" s="1"/>
  <c r="BR3" i="4"/>
  <c r="BR2" i="4" s="1"/>
  <c r="BA4" i="4"/>
  <c r="BQ4" i="4"/>
  <c r="AQ3" i="4"/>
  <c r="AQ2" i="4" s="1"/>
  <c r="AY3" i="4"/>
  <c r="AY2" i="4" s="1"/>
  <c r="BG3" i="4"/>
  <c r="BG2" i="4" s="1"/>
  <c r="BO3" i="4"/>
  <c r="BO2" i="4" s="1"/>
  <c r="AR3" i="4"/>
  <c r="AR2" i="4" s="1"/>
  <c r="AV3" i="4"/>
  <c r="AV2" i="4" s="1"/>
  <c r="AZ3" i="4"/>
  <c r="AZ2" i="4" s="1"/>
  <c r="BD3" i="4"/>
  <c r="BD2" i="4" s="1"/>
  <c r="BH3" i="4"/>
  <c r="BH2" i="4" s="1"/>
  <c r="BL3" i="4"/>
  <c r="BL2" i="4" s="1"/>
  <c r="BP3" i="4"/>
  <c r="BP2" i="4" s="1"/>
  <c r="BT3" i="4"/>
  <c r="BT2" i="4" s="1"/>
  <c r="AU4" i="4"/>
  <c r="BC4" i="4"/>
  <c r="BK4" i="4"/>
  <c r="BS4" i="4"/>
  <c r="C9" i="2"/>
  <c r="XFA10" i="2"/>
  <c r="B15" i="2" s="1"/>
  <c r="XFA9" i="2"/>
  <c r="B14" i="2" s="1"/>
  <c r="D4" i="6"/>
  <c r="F4" i="6" s="1"/>
  <c r="D8" i="6"/>
  <c r="F8" i="6" s="1"/>
  <c r="D12" i="6"/>
  <c r="F12" i="6" s="1"/>
  <c r="D16" i="6"/>
  <c r="F16" i="6" s="1"/>
  <c r="D20" i="6"/>
  <c r="F20" i="6" s="1"/>
  <c r="D24" i="6"/>
  <c r="F24" i="6" s="1"/>
  <c r="D28" i="6"/>
  <c r="F28" i="6" s="1"/>
  <c r="D32" i="6"/>
  <c r="F32" i="6" s="1"/>
  <c r="D3" i="6"/>
  <c r="F3" i="6" s="1"/>
  <c r="D7" i="6"/>
  <c r="F7" i="6" s="1"/>
  <c r="D11" i="6"/>
  <c r="F11" i="6" s="1"/>
  <c r="D15" i="6"/>
  <c r="F15" i="6" s="1"/>
  <c r="D19" i="6"/>
  <c r="F19" i="6" s="1"/>
  <c r="D23" i="6"/>
  <c r="F23" i="6" s="1"/>
  <c r="D27" i="6"/>
  <c r="F27" i="6" s="1"/>
  <c r="D31" i="6"/>
  <c r="F31" i="6" s="1"/>
  <c r="D35" i="6"/>
  <c r="F35" i="6" s="1"/>
  <c r="D6" i="6"/>
  <c r="F6" i="6" s="1"/>
  <c r="D10" i="6"/>
  <c r="F10" i="6" s="1"/>
  <c r="D14" i="6"/>
  <c r="F14" i="6" s="1"/>
  <c r="D18" i="6"/>
  <c r="F18" i="6" s="1"/>
  <c r="D22" i="6"/>
  <c r="F22" i="6" s="1"/>
  <c r="D26" i="6"/>
  <c r="F26" i="6" s="1"/>
  <c r="D30" i="6"/>
  <c r="F30" i="6" s="1"/>
  <c r="D34" i="6"/>
  <c r="F34" i="6" s="1"/>
  <c r="D5" i="6"/>
  <c r="F5" i="6" s="1"/>
  <c r="D9" i="6"/>
  <c r="F9" i="6" s="1"/>
  <c r="D13" i="6"/>
  <c r="F13" i="6" s="1"/>
  <c r="D17" i="6"/>
  <c r="F17" i="6" s="1"/>
  <c r="D21" i="6"/>
  <c r="F21" i="6" s="1"/>
  <c r="D25" i="6"/>
  <c r="F25" i="6" s="1"/>
  <c r="D29" i="6"/>
  <c r="F29" i="6" s="1"/>
</calcChain>
</file>

<file path=xl/sharedStrings.xml><?xml version="1.0" encoding="utf-8"?>
<sst xmlns="http://schemas.openxmlformats.org/spreadsheetml/2006/main" count="342" uniqueCount="155">
  <si>
    <t xml:space="preserve">IT-ITeS SSC NASSCOM </t>
  </si>
  <si>
    <t>RESULT OF QP BASED ASSESSMENT</t>
  </si>
  <si>
    <t>Assessment Agency Name</t>
  </si>
  <si>
    <t>Training Provider Name</t>
  </si>
  <si>
    <t>Qualification Pack Name/Job Role</t>
  </si>
  <si>
    <t>State</t>
  </si>
  <si>
    <t>City</t>
  </si>
  <si>
    <t>Batch Name</t>
  </si>
  <si>
    <t>Batch ID</t>
  </si>
  <si>
    <t>BatchID</t>
  </si>
  <si>
    <t>Trainee Name</t>
  </si>
  <si>
    <t>Enrollment No.</t>
  </si>
  <si>
    <t>Candidate ID</t>
  </si>
  <si>
    <t>Gender</t>
  </si>
  <si>
    <t>Assessment Date</t>
  </si>
  <si>
    <t>Pass/Fail</t>
  </si>
  <si>
    <t>QP-Total</t>
  </si>
  <si>
    <t>Result of QP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</si>
  <si>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</si>
  <si>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</si>
  <si>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</si>
  <si>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</si>
  <si>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</si>
  <si>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</si>
  <si>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</si>
  <si>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</si>
  <si>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Gender Wise Analysis</t>
  </si>
  <si>
    <t>Male</t>
  </si>
  <si>
    <t>Female</t>
  </si>
  <si>
    <t>No of Pass Students</t>
  </si>
  <si>
    <t>Percentage Pass</t>
  </si>
  <si>
    <t>Enrolled</t>
  </si>
  <si>
    <t>Appeared</t>
  </si>
  <si>
    <t>Passed</t>
  </si>
  <si>
    <t>NOS SUMMARY</t>
  </si>
  <si>
    <t>Overall</t>
  </si>
  <si>
    <t>% Students Passed (On Appeared)</t>
  </si>
  <si>
    <t>Mean (%)</t>
  </si>
  <si>
    <t>Minimum Obtained (%)</t>
  </si>
  <si>
    <t>Maximum Obtained (%)</t>
  </si>
  <si>
    <t>Median  (%)</t>
  </si>
  <si>
    <t>SD (%)</t>
  </si>
  <si>
    <t>Total No of Students</t>
  </si>
  <si>
    <t>Total No of Enrolled Students</t>
  </si>
  <si>
    <t>VERY WEAK PCs (AVERAGE SCORE LESS THAN 50%)</t>
  </si>
  <si>
    <t>MODERATELY WEAK PCs (AVERAGE SCORE BETWEEN 50-70%)</t>
  </si>
  <si>
    <t>PC3</t>
  </si>
  <si>
    <t>PC6</t>
  </si>
  <si>
    <t>PC7</t>
  </si>
  <si>
    <t>STRONG PCs (AVERAGE SCORE MORE THAN 70%)</t>
  </si>
  <si>
    <t>PC1</t>
  </si>
  <si>
    <t>PC2</t>
  </si>
  <si>
    <t>PC4</t>
  </si>
  <si>
    <t>PC5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</si>
  <si>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</si>
  <si>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</si>
  <si>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</si>
  <si>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</si>
  <si>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</si>
  <si>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</si>
  <si>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</si>
  <si>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</si>
  <si>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</si>
  <si>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</si>
  <si>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NOS1</t>
  </si>
  <si>
    <t>NOS2</t>
  </si>
  <si>
    <t>NOS3</t>
  </si>
  <si>
    <t>Rahul Kumar</t>
  </si>
  <si>
    <t>Theory</t>
  </si>
  <si>
    <t>Practical</t>
  </si>
  <si>
    <t>Anand Kumar</t>
  </si>
  <si>
    <t>Gyanu Kumar</t>
  </si>
  <si>
    <t>Amarjeet Kumar</t>
  </si>
  <si>
    <t>Karan Kumar</t>
  </si>
  <si>
    <t>Subash Kumar Singh</t>
  </si>
  <si>
    <t>Rahul Kumar Singh</t>
  </si>
  <si>
    <t>Seema Devi</t>
  </si>
  <si>
    <t>Kiran Devi</t>
  </si>
  <si>
    <t>Aditay Narayan</t>
  </si>
  <si>
    <t>Shaniraj Singh</t>
  </si>
  <si>
    <t>Pramod Kumar Singh</t>
  </si>
  <si>
    <t>Sheru Kumar</t>
  </si>
  <si>
    <t>Sonu Kumar Yadav</t>
  </si>
  <si>
    <t>Golu Kumar</t>
  </si>
  <si>
    <t>Simran Kumari</t>
  </si>
  <si>
    <t>Sahil Singh</t>
  </si>
  <si>
    <t>Vikash Kumar</t>
  </si>
  <si>
    <t>Chandani Kumari</t>
  </si>
  <si>
    <t>Mohammad Salman</t>
  </si>
  <si>
    <t>Ujjwal Kumar</t>
  </si>
  <si>
    <t>Jyoti Kumari</t>
  </si>
  <si>
    <t>Nirjala Kumari</t>
  </si>
  <si>
    <t>Ankit Kumar Pandey</t>
  </si>
  <si>
    <t>Kumari Sukriti Singh</t>
  </si>
  <si>
    <t>Anu Kumari</t>
  </si>
  <si>
    <t>Guddu Kumar Thakur</t>
  </si>
  <si>
    <t>Vishal Kumar</t>
  </si>
  <si>
    <t>Dipu Kumar</t>
  </si>
  <si>
    <t>Asgar Ali</t>
  </si>
  <si>
    <t>NOS</t>
  </si>
  <si>
    <t>PC</t>
  </si>
  <si>
    <t>Total Candidates</t>
  </si>
  <si>
    <t>No of candidate above 70 %</t>
  </si>
  <si>
    <t>candidate re presenting half of Batch</t>
  </si>
  <si>
    <t>Week/Strong</t>
  </si>
  <si>
    <t>Percentage</t>
  </si>
  <si>
    <t>Email</t>
  </si>
  <si>
    <t>Student Achieved %</t>
  </si>
  <si>
    <t/>
  </si>
  <si>
    <t>Skills Mantra Edutech Consulting India Pvt Ltd.</t>
  </si>
  <si>
    <t>DGT/VSQ/N0102</t>
  </si>
  <si>
    <t xml:space="preserve"> </t>
  </si>
  <si>
    <t>SSC/Q0110</t>
  </si>
  <si>
    <t>SSC/N0202</t>
  </si>
  <si>
    <t>SSC/N0202- Total</t>
  </si>
  <si>
    <t>-</t>
  </si>
  <si>
    <t>IT Helpdesk Attendant</t>
  </si>
  <si>
    <t>DGT/VSQ/N0101</t>
  </si>
  <si>
    <t>DGT/VSQ/N0101.- Total</t>
  </si>
  <si>
    <t>Assessor Name &amp; ID</t>
  </si>
  <si>
    <t>Overall 50%</t>
  </si>
  <si>
    <t>Out of 30</t>
  </si>
  <si>
    <t>DGT/VSQ/N0101_PC9|DGT/VSQ/N0101_PC10|DGT/VSQ/N0101_PC11</t>
  </si>
  <si>
    <t>SSC/N0202_PC1|SSC/N0202_PC2|SSC/N0202_PC3|SSC/N0202_PC4|SSC/N0202_PC5</t>
  </si>
  <si>
    <t>SSC/N0202_PC12|SSC/N0202_PC13|SSC/N0202_PC14|SSC/N0202_PC15|SSC/N0202_PC16|SSC/N0202_PC17</t>
  </si>
  <si>
    <t>SSC/N0202_PC18|SSC/N0202_PC19|SSC/N0202_PC20|SSC/N0202_PC21|SSC/N0202_PC22</t>
  </si>
  <si>
    <t>SSC/N0202_PC6|SSC/N0202_PC7|SSC/N0202_PC8|SSC/N0202_PC9|SSC/N0202_PC10|SSC/N0202_PC11</t>
  </si>
  <si>
    <t>DGT/VSQ/N0101_PC4|DGT/VSQ/N0101_PC5</t>
  </si>
  <si>
    <t>DGT/VSQ/N0101_PC6|DGT/VSQ/N0101_PC7|DGT/VSQ/N0101_PC8</t>
  </si>
  <si>
    <t>DGT/VSQ/N0101_PC1|DGT/VSQ/N0101_PC2|DGT/VSQ/N0101_PC3</t>
  </si>
  <si>
    <t>Gulam Amir Hamja</t>
  </si>
  <si>
    <t>Ful Kumari</t>
  </si>
  <si>
    <t>Nigam Kumari</t>
  </si>
  <si>
    <t>Goutam Kumar</t>
  </si>
  <si>
    <t>Amar Kumar</t>
  </si>
  <si>
    <t>Paras Kumar</t>
  </si>
  <si>
    <t>Komal Kumari</t>
  </si>
  <si>
    <t>Nisha Kumari</t>
  </si>
  <si>
    <t>Sweta Kumari</t>
  </si>
  <si>
    <t>Happy Kumari</t>
  </si>
  <si>
    <t>CAN_040354099</t>
  </si>
  <si>
    <t>CAN_040354098</t>
  </si>
  <si>
    <t>CAN_040354097</t>
  </si>
  <si>
    <t>CAN_040354096</t>
  </si>
  <si>
    <t>CAN_040354095</t>
  </si>
  <si>
    <t>CAN_040354094</t>
  </si>
  <si>
    <t>CAN_040354093</t>
  </si>
  <si>
    <t>CAN_040354092</t>
  </si>
  <si>
    <t>CAN_040354091</t>
  </si>
  <si>
    <t>CAN_040354090</t>
  </si>
  <si>
    <t>BSDM</t>
  </si>
  <si>
    <t>Banka</t>
  </si>
  <si>
    <t>Bihar</t>
  </si>
  <si>
    <t>Valeur Fabtex Private Limited</t>
  </si>
  <si>
    <t>BRAJESH KUMAR PRASAD - AR149968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</si>
</sst>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name val="Calibri"/>
      <family val="2"/>
      <scheme val="minor"/>
    </font>
    <font>
      <b/>
      <sz val="1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9" fontId="27" fillId="0" borderId="0" applyFont="0" applyFill="0" applyBorder="0" applyAlignment="0" applyProtection="0"/>
    <xf numFmtId="0" fontId="30" fillId="0" borderId="0"/>
    <xf numFmtId="0" fontId="16" fillId="0" borderId="0"/>
    <xf numFmtId="0" fontId="31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</cellStyleXfs>
  <cellXfs count="116">
    <xf numFmtId="0" fontId="0" fillId="0" borderId="0" xfId="0"/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2" xfId="0" applyFont="1" applyBorder="1"/>
    <xf numFmtId="0" fontId="17" fillId="0" borderId="2" xfId="0" applyFont="1" applyBorder="1"/>
    <xf numFmtId="1" fontId="0" fillId="0" borderId="0" xfId="0" applyNumberFormat="1"/>
    <xf numFmtId="9" fontId="0" fillId="0" borderId="0" xfId="1" applyFont="1"/>
    <xf numFmtId="0" fontId="16" fillId="0" borderId="1" xfId="0" applyFont="1" applyBorder="1"/>
    <xf numFmtId="0" fontId="17" fillId="0" borderId="1" xfId="0" applyFont="1" applyBorder="1"/>
    <xf numFmtId="0" fontId="17" fillId="3" borderId="1" xfId="0" applyFont="1" applyFill="1" applyBorder="1"/>
    <xf numFmtId="0" fontId="17" fillId="4" borderId="1" xfId="0" applyFont="1" applyFill="1" applyBorder="1"/>
    <xf numFmtId="0" fontId="16" fillId="0" borderId="0" xfId="0" applyFont="1"/>
    <xf numFmtId="0" fontId="17" fillId="0" borderId="0" xfId="0" applyFont="1"/>
    <xf numFmtId="0" fontId="0" fillId="0" borderId="1" xfId="0" applyBorder="1"/>
    <xf numFmtId="0" fontId="15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/>
    <xf numFmtId="0" fontId="18" fillId="0" borderId="1" xfId="0" applyFont="1" applyBorder="1" applyAlignment="1">
      <alignment vertical="center"/>
    </xf>
    <xf numFmtId="1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9" fontId="19" fillId="0" borderId="1" xfId="1" applyFont="1" applyFill="1" applyBorder="1" applyAlignment="1">
      <alignment horizontal="center" wrapText="1"/>
    </xf>
    <xf numFmtId="9" fontId="18" fillId="0" borderId="1" xfId="1" applyFont="1" applyFill="1" applyBorder="1" applyAlignment="1">
      <alignment horizontal="center" wrapText="1"/>
    </xf>
    <xf numFmtId="9" fontId="19" fillId="0" borderId="1" xfId="1" applyFont="1" applyFill="1" applyBorder="1" applyAlignment="1">
      <alignment horizontal="center"/>
    </xf>
    <xf numFmtId="9" fontId="20" fillId="0" borderId="1" xfId="1" applyFont="1" applyFill="1" applyBorder="1" applyAlignment="1">
      <alignment horizontal="center"/>
    </xf>
    <xf numFmtId="9" fontId="0" fillId="0" borderId="0" xfId="1" applyFont="1" applyFill="1"/>
    <xf numFmtId="9" fontId="16" fillId="0" borderId="0" xfId="0" applyNumberFormat="1" applyFont="1"/>
    <xf numFmtId="0" fontId="21" fillId="0" borderId="0" xfId="0" applyFont="1"/>
    <xf numFmtId="0" fontId="21" fillId="0" borderId="0" xfId="0" applyFont="1" applyAlignment="1">
      <alignment wrapText="1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1" fillId="2" borderId="0" xfId="0" applyFont="1" applyFill="1"/>
    <xf numFmtId="0" fontId="23" fillId="2" borderId="1" xfId="0" applyFont="1" applyFill="1" applyBorder="1" applyAlignment="1">
      <alignment horizontal="left" wrapText="1"/>
    </xf>
    <xf numFmtId="164" fontId="21" fillId="2" borderId="0" xfId="0" applyNumberFormat="1" applyFont="1" applyFill="1"/>
    <xf numFmtId="0" fontId="24" fillId="2" borderId="1" xfId="0" applyFont="1" applyFill="1" applyBorder="1" applyAlignment="1">
      <alignment horizontal="left" wrapText="1"/>
    </xf>
    <xf numFmtId="0" fontId="25" fillId="0" borderId="1" xfId="0" applyFont="1" applyBorder="1"/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wrapText="1"/>
    </xf>
    <xf numFmtId="0" fontId="26" fillId="0" borderId="5" xfId="0" applyFont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0" fontId="28" fillId="0" borderId="1" xfId="0" applyFont="1" applyBorder="1"/>
    <xf numFmtId="9" fontId="28" fillId="0" borderId="1" xfId="0" applyNumberFormat="1" applyFont="1" applyBorder="1"/>
    <xf numFmtId="0" fontId="29" fillId="0" borderId="1" xfId="0" applyFont="1" applyBorder="1"/>
    <xf numFmtId="0" fontId="0" fillId="0" borderId="1" xfId="0" applyBorder="1" applyAlignment="1">
      <alignment horizontal="center"/>
    </xf>
    <xf numFmtId="164" fontId="21" fillId="2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9" fontId="16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0" borderId="14" xfId="0" applyFont="1" applyBorder="1"/>
    <xf numFmtId="0" fontId="0" fillId="0" borderId="14" xfId="0" applyBorder="1"/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5" fillId="0" borderId="0" xfId="0" applyNumberFormat="1" applyFont="1"/>
    <xf numFmtId="0" fontId="10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6" fillId="0" borderId="1" xfId="9" applyBorder="1"/>
    <xf numFmtId="9" fontId="16" fillId="0" borderId="1" xfId="3" applyNumberFormat="1" applyBorder="1"/>
    <xf numFmtId="9" fontId="38" fillId="0" borderId="1" xfId="3" applyNumberFormat="1" applyFont="1" applyBorder="1" applyAlignment="1">
      <alignment horizontal="center" wrapText="1"/>
    </xf>
    <xf numFmtId="9" fontId="37" fillId="0" borderId="1" xfId="3" applyNumberFormat="1" applyFont="1" applyBorder="1" applyAlignment="1">
      <alignment horizontal="center" wrapText="1"/>
    </xf>
    <xf numFmtId="9" fontId="38" fillId="0" borderId="1" xfId="3" applyNumberFormat="1" applyFont="1" applyBorder="1" applyAlignment="1">
      <alignment horizontal="center"/>
    </xf>
    <xf numFmtId="0" fontId="16" fillId="0" borderId="1" xfId="3" applyBorder="1"/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" fontId="4" fillId="0" borderId="1" xfId="0" quotePrefix="1" applyNumberFormat="1" applyFont="1" applyBorder="1" applyAlignment="1">
      <alignment horizontal="left"/>
    </xf>
    <xf numFmtId="1" fontId="4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/>
    </xf>
    <xf numFmtId="0" fontId="39" fillId="0" borderId="15" xfId="0" applyFont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8" fillId="5" borderId="5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left"/>
    </xf>
    <xf numFmtId="14" fontId="19" fillId="0" borderId="6" xfId="0" applyNumberFormat="1" applyFont="1" applyBorder="1" applyAlignment="1">
      <alignment horizontal="left"/>
    </xf>
    <xf numFmtId="14" fontId="19" fillId="0" borderId="7" xfId="0" applyNumberFormat="1" applyFont="1" applyBorder="1" applyAlignment="1">
      <alignment horizontal="left"/>
    </xf>
    <xf numFmtId="0" fontId="19" fillId="0" borderId="5" xfId="0" applyFont="1" applyBorder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1" fontId="18" fillId="0" borderId="6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7" fillId="3" borderId="1" xfId="0" applyFont="1" applyFill="1" applyBorder="1"/>
    <xf numFmtId="0" fontId="0" fillId="0" borderId="0" xfId="0"/>
    <xf numFmtId="0" fontId="16" fillId="0" borderId="1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2" xfId="0" applyFont="1" applyBorder="1"/>
    <xf numFmtId="0" fontId="1" fillId="0" borderId="1" xfId="0" applyFont="1" applyBorder="1"/>
  </cellXfs>
  <cellStyles count="10">
    <cellStyle name="Normal" xfId="0" builtinId="0"/>
    <cellStyle name="Normal 2" xfId="2" xr:uid="{829E2644-EE51-4EF5-A64E-C6788DF75522}"/>
    <cellStyle name="Normal 3" xfId="3" xr:uid="{19431BD1-E363-466C-AFD5-A273B801386A}"/>
    <cellStyle name="Normal 4" xfId="4" xr:uid="{61916660-B636-4E99-BD02-E7828AF65A87}"/>
    <cellStyle name="Normal 5" xfId="5" xr:uid="{AD5108A9-08DC-48F4-932E-5D5B503C70C6}"/>
    <cellStyle name="Normal 6" xfId="6" xr:uid="{4034D02C-7138-4A63-89B9-EC93CB25E1A9}"/>
    <cellStyle name="Normal 7" xfId="7" xr:uid="{9E384925-F81C-470C-8383-8245EE7F98AE}"/>
    <cellStyle name="Normal 8" xfId="8" xr:uid="{13D1D3D3-1DB8-40EA-A6CB-2C26BFF2AF46}"/>
    <cellStyle name="Normal 9" xfId="9" xr:uid="{8473B975-C65A-4DD3-94F1-99E7B3A480C8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213131321951118E-2"/>
          <c:y val="0.17218567012310337"/>
          <c:w val="0.89155230251992812"/>
          <c:h val="0.46420674431007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'Analysis-Tabular'!$B$12</c:f>
              <c:strCache>
                <c:ptCount val="1"/>
                <c:pt idx="0">
                  <c:v>% Students Passed 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'Analysis-Tabular'!$B$13:$B$14</c:f>
              <c:numCache>
                <c:formatCode>0%</c:formatCode>
                <c:ptCount val="2"/>
                <c:pt idx="0">
                  <c:v>1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3-4DFE-96F4-4525C4B3A854}"/>
            </c:ext>
          </c:extLst>
        </c:ser>
        <c:ser>
          <c:idx val="1"/>
          <c:order val="1"/>
          <c:tx>
            <c:strRef>
              <c:f>'Analysis-Tabular'!$C$12</c:f>
              <c:strCache>
                <c:ptCount val="1"/>
                <c:pt idx="0">
                  <c:v>Mean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'Analysis-Tabular'!$C$13:$C$14</c:f>
              <c:numCache>
                <c:formatCode>0%</c:formatCode>
                <c:ptCount val="2"/>
                <c:pt idx="0">
                  <c:v>0.88849999999999996</c:v>
                </c:pt>
                <c:pt idx="1">
                  <c:v>0.83400000000000007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3-4DFE-96F4-4525C4B3A854}"/>
            </c:ext>
          </c:extLst>
        </c:ser>
        <c:ser>
          <c:idx val="2"/>
          <c:order val="2"/>
          <c:tx>
            <c:strRef>
              <c:f>'Analysis-Tabular'!$D$12</c:f>
              <c:strCache>
                <c:ptCount val="1"/>
                <c:pt idx="0">
                  <c:v>Minimum Obtained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'Analysis-Tabular'!$D$13:$D$14</c:f>
              <c:numCache>
                <c:formatCode>0%</c:formatCode>
                <c:ptCount val="2"/>
                <c:pt idx="0">
                  <c:v>0.5</c:v>
                </c:pt>
                <c:pt idx="1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3-4DFE-96F4-4525C4B3A854}"/>
            </c:ext>
          </c:extLst>
        </c:ser>
        <c:ser>
          <c:idx val="3"/>
          <c:order val="3"/>
          <c:tx>
            <c:strRef>
              <c:f>'Analysis-Tabular'!$E$12</c:f>
              <c:strCache>
                <c:ptCount val="1"/>
                <c:pt idx="0">
                  <c:v>Maximum Obtained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'Analysis-Tabular'!$E$13:$E$14</c:f>
              <c:numCache>
                <c:formatCode>0%</c:formatCode>
                <c:ptCount val="2"/>
                <c:pt idx="0">
                  <c:v>0.97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3-4DFE-96F4-4525C4B3A854}"/>
            </c:ext>
          </c:extLst>
        </c:ser>
        <c:ser>
          <c:idx val="4"/>
          <c:order val="4"/>
          <c:tx>
            <c:strRef>
              <c:f>'Analysis-Tabular'!$F$12</c:f>
              <c:strCache>
                <c:ptCount val="1"/>
                <c:pt idx="0">
                  <c:v>Median 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'Analysis-Tabular'!$F$13:$F$14</c:f>
              <c:numCache>
                <c:formatCode>0%</c:formatCode>
                <c:ptCount val="2"/>
                <c:pt idx="0">
                  <c:v>0.95</c:v>
                </c:pt>
                <c:pt idx="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13-4DFE-96F4-4525C4B3A854}"/>
            </c:ext>
          </c:extLst>
        </c:ser>
        <c:ser>
          <c:idx val="5"/>
          <c:order val="5"/>
          <c:tx>
            <c:strRef>
              <c:f>'Analysis-Tabular'!$G$12</c:f>
              <c:strCache>
                <c:ptCount val="1"/>
                <c:pt idx="0">
                  <c:v>SD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'Analysis-Tabular'!$G$13:$G$14</c:f>
              <c:numCache>
                <c:formatCode>0%</c:formatCode>
                <c:ptCount val="2"/>
                <c:pt idx="0">
                  <c:v>0.13461147796529091</c:v>
                </c:pt>
                <c:pt idx="1">
                  <c:v>0.22539742678211744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13-4DFE-96F4-4525C4B3A8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96184048"/>
        <c:axId val="496182480"/>
      </c:barChart>
      <c:catAx>
        <c:axId val="4961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82480"/>
        <c:crosses val="autoZero"/>
        <c:auto val="1"/>
        <c:lblAlgn val="ctr"/>
        <c:lblOffset val="100"/>
        <c:noMultiLvlLbl val="0"/>
      </c:catAx>
      <c:valAx>
        <c:axId val="4961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'Analysis-Tabular'!$C$7:$C$7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'Analysis-Tabular'!$C$8:$C$8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A-424D-864B-FFDD83B736EE}"/>
            </c:ext>
          </c:extLst>
        </c:ser>
        <c:ser>
          <c:idx val="1"/>
          <c:order val="1"/>
          <c:tx>
            <c:strRef>
              <c:f>'Analysis-Tabular'!$B$9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'Analysis-Tabular'!$C$7:$C$7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'Analysis-Tabular'!$C$9:$C$9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A-424D-864B-FFDD83B736EE}"/>
            </c:ext>
          </c:extLst>
        </c:ser>
        <c:ser>
          <c:idx val="2"/>
          <c:order val="2"/>
          <c:tx>
            <c:strRef>
              <c:f>'Analysis-Tabular'!$B$10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'Analysis-Tabular'!$C$7:$C$7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'Analysis-Tabular'!$C$10:$C$10</c:f>
              <c:numCache>
                <c:formatCode>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A-424D-864B-FFDD83B736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680040"/>
        <c:axId val="473676120"/>
      </c:barChart>
      <c:catAx>
        <c:axId val="47368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76120"/>
        <c:crosses val="autoZero"/>
        <c:auto val="1"/>
        <c:lblAlgn val="ctr"/>
        <c:lblOffset val="100"/>
        <c:noMultiLvlLbl val="0"/>
      </c:catAx>
      <c:valAx>
        <c:axId val="47367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8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Gender Wise Analysis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016289204152754E-2"/>
          <c:y val="0.19432888597258677"/>
          <c:w val="0.89580069327106682"/>
          <c:h val="0.592368401866433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'Analysis-Tabular'!$F$7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'Analysis-Tabular'!$F$8:$F$10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C-4B01-9D22-487233C4145D}"/>
            </c:ext>
          </c:extLst>
        </c:ser>
        <c:ser>
          <c:idx val="1"/>
          <c:order val="1"/>
          <c:tx>
            <c:strRef>
              <c:f>'Analysis-Tabular'!$G$7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'Analysis-Tabular'!$G$8:$G$10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C-4B01-9D22-487233C414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136528"/>
        <c:axId val="481160592"/>
      </c:barChart>
      <c:catAx>
        <c:axId val="7871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60592"/>
        <c:crosses val="autoZero"/>
        <c:auto val="1"/>
        <c:lblAlgn val="ctr"/>
        <c:lblOffset val="100"/>
        <c:noMultiLvlLbl val="0"/>
      </c:catAx>
      <c:valAx>
        <c:axId val="4811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3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2082210</xdr:colOff>
      <xdr:row>2</xdr:row>
      <xdr:rowOff>188284</xdr:rowOff>
    </xdr:from>
    <xdr:to>
      <xdr:col>6</xdr:col>
      <xdr:colOff>919274</xdr:colOff>
      <xdr:row>18</xdr:row>
      <xdr:rowOff>88605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188284</xdr:rowOff>
    </xdr:from>
    <xdr:to>
      <xdr:col>2</xdr:col>
      <xdr:colOff>1893924</xdr:colOff>
      <xdr:row>17</xdr:row>
      <xdr:rowOff>177208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620232</xdr:colOff>
      <xdr:row>3</xdr:row>
      <xdr:rowOff>22151</xdr:rowOff>
    </xdr:from>
    <xdr:to>
      <xdr:col>12</xdr:col>
      <xdr:colOff>418658</xdr:colOff>
      <xdr:row>19</xdr:row>
      <xdr:rowOff>121831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topLeftCell="A2" workbookViewId="0">
      <selection activeCell="A2" sqref="A2:I2"/>
    </sheetView>
  </sheetViews>
  <sheetFormatPr defaultColWidth="9.140625" defaultRowHeight="12.75"/>
  <cols>
    <col min="1" max="1" width="17.7109375" style="32" bestFit="1" customWidth="1"/>
    <col min="2" max="2" width="48.85546875" style="32" bestFit="1" customWidth="1"/>
    <col min="3" max="4" width="14.5703125" style="32" customWidth="1"/>
    <col min="5" max="5" width="36.140625" style="32" bestFit="1" customWidth="1"/>
    <col min="6" max="6" width="16.28515625" style="32" customWidth="1"/>
    <col min="7" max="7" width="11.85546875" style="32" customWidth="1"/>
    <col min="8" max="8" width="15.28515625" style="32" customWidth="1"/>
    <col min="9" max="10" width="12.28515625" style="32" customWidth="1"/>
    <col min="11" max="12" width="9.140625" style="32"/>
    <col min="13" max="13" width="15.85546875" style="33" customWidth="1"/>
    <col min="14" max="14" width="15.140625" style="32" bestFit="1" customWidth="1"/>
    <col min="15" max="16384" width="9.140625" style="32"/>
  </cols>
  <sheetData>
    <row r="1" spans="1:27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34"/>
      <c r="K1" s="36"/>
      <c r="L1" s="36"/>
      <c r="M1" s="4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7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35"/>
      <c r="K2" s="36"/>
      <c r="L2" s="36"/>
      <c r="M2" s="44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7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44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7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44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7" ht="30">
      <c r="A5" s="37" t="s">
        <v>2</v>
      </c>
      <c r="B5" s="13" t="s">
        <v>109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27" ht="30">
      <c r="A6" s="37" t="s">
        <v>3</v>
      </c>
      <c r="B6" s="115" t="s">
        <v>153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27" ht="30">
      <c r="A7" s="37" t="s">
        <v>119</v>
      </c>
      <c r="B7" s="115" t="s">
        <v>154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27" ht="30">
      <c r="A8" s="37" t="s">
        <v>4</v>
      </c>
      <c r="B8" s="76" t="s">
        <v>116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1:27" ht="15">
      <c r="A9" s="37" t="s">
        <v>5</v>
      </c>
      <c r="B9" s="115" t="s">
        <v>152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spans="1:27" ht="15">
      <c r="A10" s="37" t="s">
        <v>6</v>
      </c>
      <c r="B10" s="115" t="s">
        <v>151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1:27" ht="15">
      <c r="A11" s="37" t="s">
        <v>7</v>
      </c>
      <c r="B11" s="74">
        <v>3790631</v>
      </c>
      <c r="C11" s="36"/>
      <c r="D11" s="36"/>
      <c r="E11" s="36"/>
      <c r="F11" s="36"/>
      <c r="G11" s="38"/>
      <c r="H11" s="3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1:27" ht="15">
      <c r="A12" s="37" t="s">
        <v>8</v>
      </c>
      <c r="B12" s="74">
        <v>3790631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44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7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44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7" ht="39">
      <c r="A14" s="39" t="s">
        <v>9</v>
      </c>
      <c r="B14" s="39" t="s">
        <v>10</v>
      </c>
      <c r="C14" s="39" t="s">
        <v>11</v>
      </c>
      <c r="D14" s="40" t="s">
        <v>12</v>
      </c>
      <c r="E14" s="40" t="s">
        <v>106</v>
      </c>
      <c r="F14" s="41" t="s">
        <v>13</v>
      </c>
      <c r="G14" s="39" t="s">
        <v>14</v>
      </c>
      <c r="H14" s="39" t="s">
        <v>114</v>
      </c>
      <c r="I14" s="42" t="s">
        <v>15</v>
      </c>
      <c r="J14" s="39" t="s">
        <v>118</v>
      </c>
      <c r="K14" s="42" t="s">
        <v>15</v>
      </c>
      <c r="L14" s="39" t="s">
        <v>16</v>
      </c>
      <c r="M14" s="39" t="s">
        <v>107</v>
      </c>
      <c r="N14" s="39" t="s">
        <v>17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ht="15">
      <c r="A15" s="75">
        <v>3790631</v>
      </c>
      <c r="B15" s="7" t="s">
        <v>130</v>
      </c>
      <c r="C15" s="73" t="s">
        <v>140</v>
      </c>
      <c r="D15" s="73">
        <v>40354099</v>
      </c>
      <c r="E15" s="72" t="s">
        <v>115</v>
      </c>
      <c r="F15" s="43" t="s">
        <v>27</v>
      </c>
      <c r="G15" s="77">
        <v>46189</v>
      </c>
      <c r="H15" s="49">
        <v>89.5</v>
      </c>
      <c r="I15" s="49" t="str">
        <f t="shared" ref="I15:I24" si="0">IF(H15&gt;=50,"Pass","Fail")</f>
        <v>Pass</v>
      </c>
      <c r="J15" s="49">
        <v>50</v>
      </c>
      <c r="K15" s="49" t="str">
        <f t="shared" ref="K15" si="1">IF(J15&gt;=25,"Pass","Fail")</f>
        <v>Pass</v>
      </c>
      <c r="L15" s="49">
        <f t="shared" ref="L15" si="2">H15+J15</f>
        <v>139.5</v>
      </c>
      <c r="M15" s="49">
        <f t="shared" ref="M15" si="3">L15/150*100</f>
        <v>93</v>
      </c>
      <c r="N15" s="50" t="str">
        <f t="shared" ref="N15" si="4">IF(M15&gt;=50,"Pass","Fail")</f>
        <v>Pass</v>
      </c>
      <c r="O15" s="38"/>
      <c r="P15" s="36"/>
      <c r="Q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15">
      <c r="A16" s="75">
        <v>3790631</v>
      </c>
      <c r="B16" s="7" t="s">
        <v>131</v>
      </c>
      <c r="C16" s="73" t="s">
        <v>141</v>
      </c>
      <c r="D16" s="73">
        <v>40354098</v>
      </c>
      <c r="E16" s="72" t="s">
        <v>115</v>
      </c>
      <c r="F16" s="43" t="s">
        <v>28</v>
      </c>
      <c r="G16" s="77">
        <v>46189</v>
      </c>
      <c r="H16" s="49">
        <v>95</v>
      </c>
      <c r="I16" s="49" t="str">
        <f t="shared" si="0"/>
        <v>Pass</v>
      </c>
      <c r="J16" s="49">
        <v>50</v>
      </c>
      <c r="K16" s="49" t="str">
        <f t="shared" ref="K16:K24" si="5">IF(J16&gt;=25,"Pass","Fail")</f>
        <v>Pass</v>
      </c>
      <c r="L16" s="49">
        <f t="shared" ref="L16:L24" si="6">H16+J16</f>
        <v>145</v>
      </c>
      <c r="M16" s="49">
        <f t="shared" ref="M16:M24" si="7">L16/150*100</f>
        <v>96.666666666666671</v>
      </c>
      <c r="N16" s="50" t="str">
        <f t="shared" ref="N16:N24" si="8">IF(M16&gt;=50,"Pass","Fail")</f>
        <v>Pass</v>
      </c>
      <c r="O16" s="38"/>
      <c r="P16" s="36"/>
      <c r="Q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ht="15">
      <c r="A17" s="75">
        <v>3790631</v>
      </c>
      <c r="B17" s="7" t="s">
        <v>132</v>
      </c>
      <c r="C17" s="73" t="s">
        <v>142</v>
      </c>
      <c r="D17" s="73">
        <v>40354097</v>
      </c>
      <c r="E17" s="72" t="s">
        <v>115</v>
      </c>
      <c r="F17" s="43" t="s">
        <v>28</v>
      </c>
      <c r="G17" s="77">
        <v>46189</v>
      </c>
      <c r="H17" s="49">
        <v>97</v>
      </c>
      <c r="I17" s="49" t="str">
        <f t="shared" si="0"/>
        <v>Pass</v>
      </c>
      <c r="J17" s="49">
        <v>50</v>
      </c>
      <c r="K17" s="49" t="str">
        <f t="shared" si="5"/>
        <v>Pass</v>
      </c>
      <c r="L17" s="49">
        <f t="shared" si="6"/>
        <v>147</v>
      </c>
      <c r="M17" s="49">
        <f t="shared" si="7"/>
        <v>98</v>
      </c>
      <c r="N17" s="50" t="str">
        <f t="shared" si="8"/>
        <v>Pass</v>
      </c>
      <c r="O17" s="38"/>
      <c r="P17" s="36"/>
      <c r="Q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 ht="15">
      <c r="A18" s="75">
        <v>3790631</v>
      </c>
      <c r="B18" s="7" t="s">
        <v>133</v>
      </c>
      <c r="C18" s="73" t="s">
        <v>143</v>
      </c>
      <c r="D18" s="73">
        <v>40354096</v>
      </c>
      <c r="E18" s="72" t="s">
        <v>115</v>
      </c>
      <c r="F18" s="43" t="s">
        <v>27</v>
      </c>
      <c r="G18" s="77">
        <v>46189</v>
      </c>
      <c r="H18" s="49">
        <v>87</v>
      </c>
      <c r="I18" s="49" t="str">
        <f t="shared" si="0"/>
        <v>Pass</v>
      </c>
      <c r="J18" s="49">
        <v>31</v>
      </c>
      <c r="K18" s="49" t="str">
        <f t="shared" si="5"/>
        <v>Pass</v>
      </c>
      <c r="L18" s="49">
        <f t="shared" si="6"/>
        <v>118</v>
      </c>
      <c r="M18" s="49">
        <f t="shared" si="7"/>
        <v>78.666666666666657</v>
      </c>
      <c r="N18" s="50" t="str">
        <f t="shared" si="8"/>
        <v>Pass</v>
      </c>
      <c r="O18" s="38"/>
      <c r="P18" s="36"/>
      <c r="Q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1:27" ht="15">
      <c r="A19" s="75">
        <v>3790631</v>
      </c>
      <c r="B19" s="7" t="s">
        <v>134</v>
      </c>
      <c r="C19" s="73" t="s">
        <v>144</v>
      </c>
      <c r="D19" s="73">
        <v>40354095</v>
      </c>
      <c r="E19" s="72" t="s">
        <v>115</v>
      </c>
      <c r="F19" s="43" t="s">
        <v>27</v>
      </c>
      <c r="G19" s="77">
        <v>46189</v>
      </c>
      <c r="H19" s="49">
        <v>96</v>
      </c>
      <c r="I19" s="49" t="str">
        <f t="shared" si="0"/>
        <v>Pass</v>
      </c>
      <c r="J19" s="49">
        <v>41</v>
      </c>
      <c r="K19" s="49" t="str">
        <f t="shared" si="5"/>
        <v>Pass</v>
      </c>
      <c r="L19" s="49">
        <f t="shared" si="6"/>
        <v>137</v>
      </c>
      <c r="M19" s="49">
        <f t="shared" si="7"/>
        <v>91.333333333333329</v>
      </c>
      <c r="N19" s="50" t="str">
        <f t="shared" si="8"/>
        <v>Pass</v>
      </c>
      <c r="O19" s="38"/>
      <c r="P19" s="36"/>
      <c r="Q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1:27" ht="15">
      <c r="A20" s="75">
        <v>3790631</v>
      </c>
      <c r="B20" s="7" t="s">
        <v>135</v>
      </c>
      <c r="C20" s="73" t="s">
        <v>145</v>
      </c>
      <c r="D20" s="73">
        <v>40354094</v>
      </c>
      <c r="E20" s="72" t="s">
        <v>115</v>
      </c>
      <c r="F20" s="43" t="s">
        <v>27</v>
      </c>
      <c r="G20" s="77">
        <v>46189</v>
      </c>
      <c r="H20" s="49">
        <v>87</v>
      </c>
      <c r="I20" s="49" t="str">
        <f t="shared" si="0"/>
        <v>Pass</v>
      </c>
      <c r="J20" s="49">
        <v>50</v>
      </c>
      <c r="K20" s="49" t="str">
        <f t="shared" si="5"/>
        <v>Pass</v>
      </c>
      <c r="L20" s="49">
        <f t="shared" si="6"/>
        <v>137</v>
      </c>
      <c r="M20" s="49">
        <f t="shared" si="7"/>
        <v>91.333333333333329</v>
      </c>
      <c r="N20" s="50" t="str">
        <f t="shared" si="8"/>
        <v>Pass</v>
      </c>
      <c r="O20" s="38"/>
      <c r="P20" s="36"/>
      <c r="Q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1:27" ht="15">
      <c r="A21" s="75">
        <v>3790631</v>
      </c>
      <c r="B21" s="7" t="s">
        <v>136</v>
      </c>
      <c r="C21" s="73" t="s">
        <v>146</v>
      </c>
      <c r="D21" s="73">
        <v>40354093</v>
      </c>
      <c r="E21" s="72" t="s">
        <v>115</v>
      </c>
      <c r="F21" s="43" t="s">
        <v>28</v>
      </c>
      <c r="G21" s="77">
        <v>46189</v>
      </c>
      <c r="H21" s="49">
        <v>50</v>
      </c>
      <c r="I21" s="49" t="str">
        <f t="shared" si="0"/>
        <v>Pass</v>
      </c>
      <c r="J21" s="49">
        <v>14</v>
      </c>
      <c r="K21" s="49" t="str">
        <f t="shared" si="5"/>
        <v>Fail</v>
      </c>
      <c r="L21" s="49">
        <f t="shared" si="6"/>
        <v>64</v>
      </c>
      <c r="M21" s="49">
        <f t="shared" si="7"/>
        <v>42.666666666666671</v>
      </c>
      <c r="N21" s="50" t="str">
        <f t="shared" si="8"/>
        <v>Fail</v>
      </c>
      <c r="O21" s="38"/>
      <c r="P21" s="36"/>
      <c r="Q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27" ht="15">
      <c r="A22" s="75">
        <v>3790631</v>
      </c>
      <c r="B22" s="7" t="s">
        <v>137</v>
      </c>
      <c r="C22" s="73" t="s">
        <v>147</v>
      </c>
      <c r="D22" s="73">
        <v>40354092</v>
      </c>
      <c r="E22" s="72" t="s">
        <v>115</v>
      </c>
      <c r="F22" s="43" t="s">
        <v>28</v>
      </c>
      <c r="G22" s="77">
        <v>46189</v>
      </c>
      <c r="H22" s="49">
        <v>95</v>
      </c>
      <c r="I22" s="49" t="str">
        <f t="shared" si="0"/>
        <v>Pass</v>
      </c>
      <c r="J22" s="49">
        <v>36</v>
      </c>
      <c r="K22" s="49" t="str">
        <f t="shared" si="5"/>
        <v>Pass</v>
      </c>
      <c r="L22" s="49">
        <f t="shared" si="6"/>
        <v>131</v>
      </c>
      <c r="M22" s="49">
        <f t="shared" si="7"/>
        <v>87.333333333333329</v>
      </c>
      <c r="N22" s="50" t="str">
        <f t="shared" si="8"/>
        <v>Pass</v>
      </c>
      <c r="O22" s="38"/>
      <c r="P22" s="36"/>
      <c r="Q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ht="15">
      <c r="A23" s="75">
        <v>3790631</v>
      </c>
      <c r="B23" s="7" t="s">
        <v>138</v>
      </c>
      <c r="C23" s="73" t="s">
        <v>148</v>
      </c>
      <c r="D23" s="73">
        <v>40354091</v>
      </c>
      <c r="E23" s="72" t="s">
        <v>115</v>
      </c>
      <c r="F23" s="43" t="s">
        <v>28</v>
      </c>
      <c r="G23" s="77">
        <v>46189</v>
      </c>
      <c r="H23" s="49">
        <v>96</v>
      </c>
      <c r="I23" s="49" t="str">
        <f t="shared" si="0"/>
        <v>Pass</v>
      </c>
      <c r="J23" s="49">
        <v>45</v>
      </c>
      <c r="K23" s="49" t="str">
        <f t="shared" si="5"/>
        <v>Pass</v>
      </c>
      <c r="L23" s="49">
        <f t="shared" si="6"/>
        <v>141</v>
      </c>
      <c r="M23" s="49">
        <f t="shared" si="7"/>
        <v>94</v>
      </c>
      <c r="N23" s="50" t="str">
        <f t="shared" si="8"/>
        <v>Pass</v>
      </c>
      <c r="O23" s="38"/>
      <c r="P23" s="36"/>
      <c r="Q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ht="15">
      <c r="A24" s="75">
        <v>3790631</v>
      </c>
      <c r="B24" s="7" t="s">
        <v>139</v>
      </c>
      <c r="C24" s="73" t="s">
        <v>149</v>
      </c>
      <c r="D24" s="73">
        <v>40354090</v>
      </c>
      <c r="E24" s="72" t="s">
        <v>115</v>
      </c>
      <c r="F24" s="43" t="s">
        <v>28</v>
      </c>
      <c r="G24" s="77">
        <v>46189</v>
      </c>
      <c r="H24" s="49">
        <v>96</v>
      </c>
      <c r="I24" s="49" t="str">
        <f t="shared" si="0"/>
        <v>Pass</v>
      </c>
      <c r="J24" s="49">
        <v>50</v>
      </c>
      <c r="K24" s="49" t="str">
        <f t="shared" si="5"/>
        <v>Pass</v>
      </c>
      <c r="L24" s="49">
        <f t="shared" si="6"/>
        <v>146</v>
      </c>
      <c r="M24" s="49">
        <f t="shared" si="7"/>
        <v>97.333333333333343</v>
      </c>
      <c r="N24" s="50" t="str">
        <f t="shared" si="8"/>
        <v>Pass</v>
      </c>
      <c r="O24" s="38"/>
      <c r="P24" s="36"/>
      <c r="Q24" s="36"/>
      <c r="S24" s="36"/>
      <c r="T24" s="36"/>
      <c r="U24" s="36"/>
      <c r="V24" s="36"/>
      <c r="W24" s="36"/>
      <c r="X24" s="36"/>
      <c r="Y24" s="36"/>
      <c r="Z24" s="36"/>
      <c r="AA24" s="36"/>
    </row>
  </sheetData>
  <autoFilter ref="N14:N24" xr:uid="{00000000-0001-0000-0000-000000000000}"/>
  <mergeCells count="2">
    <mergeCell ref="A1:I1"/>
    <mergeCell ref="A2:I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24"/>
  <sheetViews>
    <sheetView workbookViewId="0">
      <selection activeCell="B5" sqref="B5:G5"/>
    </sheetView>
  </sheetViews>
  <sheetFormatPr defaultColWidth="9" defaultRowHeight="15"/>
  <cols>
    <col min="1" max="1" width="31.140625" customWidth="1" collapsed="1"/>
    <col min="2" max="2" width="11.42578125" customWidth="1" collapsed="1"/>
    <col min="3" max="3" width="9.85546875" customWidth="1" collapsed="1"/>
    <col min="4" max="4" width="9.7109375" customWidth="1" collapsed="1"/>
    <col min="5" max="16378" width="9.140625" collapsed="1"/>
    <col min="16379" max="16379" width="27.42578125" customWidth="1" collapsed="1"/>
    <col min="16380" max="16380" width="10.7109375" customWidth="1" collapsed="1"/>
    <col min="16381" max="16381" width="16.7109375" customWidth="1" collapsed="1"/>
    <col min="16382" max="16384" width="9.140625" collapsed="1"/>
  </cols>
  <sheetData>
    <row r="1" spans="1:11 16375:16381" ht="27.75" customHeight="1">
      <c r="A1" s="101" t="s">
        <v>18</v>
      </c>
      <c r="B1" s="101"/>
      <c r="C1" s="101"/>
      <c r="D1" s="101"/>
      <c r="E1" s="101"/>
      <c r="F1" s="101"/>
      <c r="G1" s="101"/>
    </row>
    <row r="2" spans="1:11 16375:16381" ht="20.100000000000001" customHeight="1">
      <c r="A2" s="102" t="s">
        <v>19</v>
      </c>
      <c r="B2" s="102"/>
      <c r="C2" s="102"/>
      <c r="D2" s="102"/>
      <c r="E2" s="102"/>
      <c r="F2" s="102"/>
      <c r="G2" s="102"/>
    </row>
    <row r="3" spans="1:11 16375:16381">
      <c r="A3" s="16" t="s">
        <v>20</v>
      </c>
      <c r="B3" s="103">
        <f>Result!B11</f>
        <v>3790631</v>
      </c>
      <c r="C3" s="104"/>
      <c r="D3" s="104"/>
      <c r="E3" s="104"/>
      <c r="F3" s="104"/>
      <c r="G3" s="105"/>
    </row>
    <row r="4" spans="1:11 16375:16381" ht="26.25">
      <c r="A4" s="17" t="s">
        <v>21</v>
      </c>
      <c r="B4" s="106" t="s">
        <v>150</v>
      </c>
      <c r="C4" s="107"/>
      <c r="D4" s="17" t="s">
        <v>22</v>
      </c>
      <c r="E4" s="106" t="s">
        <v>120</v>
      </c>
      <c r="F4" s="108"/>
      <c r="G4" s="107"/>
      <c r="XEZ4" s="63"/>
    </row>
    <row r="5" spans="1:11 16375:16381">
      <c r="A5" s="18" t="s">
        <v>14</v>
      </c>
      <c r="B5" s="91">
        <f>Result!G15</f>
        <v>46189</v>
      </c>
      <c r="C5" s="92"/>
      <c r="D5" s="92"/>
      <c r="E5" s="92"/>
      <c r="F5" s="92"/>
      <c r="G5" s="93"/>
    </row>
    <row r="6" spans="1:11 16375:16381">
      <c r="A6" s="19" t="s">
        <v>23</v>
      </c>
      <c r="B6" s="20" t="s">
        <v>112</v>
      </c>
      <c r="C6" s="94" t="s">
        <v>116</v>
      </c>
      <c r="D6" s="95"/>
      <c r="E6" s="95"/>
      <c r="F6" s="95"/>
      <c r="G6" s="96"/>
    </row>
    <row r="7" spans="1:11 16375:16381">
      <c r="A7" s="84" t="s">
        <v>24</v>
      </c>
      <c r="C7" s="19" t="s">
        <v>25</v>
      </c>
      <c r="D7" s="85" t="s">
        <v>26</v>
      </c>
      <c r="E7" s="86"/>
      <c r="F7" s="15" t="s">
        <v>27</v>
      </c>
      <c r="G7" s="15" t="s">
        <v>28</v>
      </c>
      <c r="XEU7" s="12"/>
      <c r="XEV7" s="12"/>
      <c r="XEW7" s="12"/>
      <c r="XEY7" s="10" t="s">
        <v>29</v>
      </c>
      <c r="XEZ7" s="10" t="s">
        <v>121</v>
      </c>
      <c r="XFA7" s="10" t="s">
        <v>30</v>
      </c>
    </row>
    <row r="8" spans="1:11 16375:16381" ht="15" customHeight="1">
      <c r="A8" s="84"/>
      <c r="B8" s="21" t="s">
        <v>31</v>
      </c>
      <c r="C8" s="22">
        <f>XEZ12</f>
        <v>10</v>
      </c>
      <c r="D8" s="87"/>
      <c r="E8" s="88"/>
      <c r="F8" s="23">
        <f>COUNTIF(Result!$F$15:$F$24,"Male")</f>
        <v>4</v>
      </c>
      <c r="G8" s="23">
        <f>COUNTIF(Result!$F$15:$F$24,"Female")</f>
        <v>6</v>
      </c>
      <c r="XEU8" s="11"/>
      <c r="XEV8" s="11"/>
      <c r="XEW8" s="31"/>
      <c r="XEY8" s="7" t="s">
        <v>113</v>
      </c>
      <c r="XEZ8" s="45">
        <f>COUNTIF(Result!$I$15:$I$24,"Pass")</f>
        <v>10</v>
      </c>
      <c r="XFA8" s="46">
        <f>XEZ8/$XEZ$11</f>
        <v>1</v>
      </c>
    </row>
    <row r="9" spans="1:11 16375:16381">
      <c r="A9" s="84"/>
      <c r="B9" s="21" t="s">
        <v>32</v>
      </c>
      <c r="C9" s="22">
        <f>XEZ11</f>
        <v>10</v>
      </c>
      <c r="D9" s="87"/>
      <c r="E9" s="88"/>
      <c r="F9" s="23">
        <f>COUNTIFS(Result!$N$15:$N$24,"&lt;&gt;Not Appeared",Result!$F$15:$F$24,"Male")</f>
        <v>4</v>
      </c>
      <c r="G9" s="23">
        <f>COUNTIFS(Result!$N$15:$N$24,"&lt;&gt;Not Appeared",Result!$F$15:$F$24,"Female")</f>
        <v>6</v>
      </c>
      <c r="XEU9" s="11"/>
      <c r="XEV9" s="11"/>
      <c r="XEW9" s="31"/>
      <c r="XEY9" s="7" t="s">
        <v>110</v>
      </c>
      <c r="XEZ9" s="45">
        <f>COUNTIF(Result!$K$15:$K$24,"Pass")</f>
        <v>9</v>
      </c>
      <c r="XFA9" s="46">
        <f>XEZ9/$XEZ$11</f>
        <v>0.9</v>
      </c>
    </row>
    <row r="10" spans="1:11 16375:16381">
      <c r="A10" s="84"/>
      <c r="B10" s="21" t="s">
        <v>33</v>
      </c>
      <c r="C10" s="22">
        <f>XEZ10</f>
        <v>9</v>
      </c>
      <c r="D10" s="89"/>
      <c r="E10" s="90"/>
      <c r="F10" s="23">
        <f>COUNTIFS(Result!$N$15:$N$24,"Pass",Result!$F$15:$F$24,"Male")</f>
        <v>4</v>
      </c>
      <c r="G10" s="23">
        <f>COUNTIFS(Result!$N$15:$N$24,"Pass",Result!$F$15:$F$24,"Female")</f>
        <v>5</v>
      </c>
      <c r="XEU10" s="11"/>
      <c r="XEV10" s="11"/>
      <c r="XEW10" s="31"/>
      <c r="XEY10" s="8" t="s">
        <v>35</v>
      </c>
      <c r="XEZ10" s="45">
        <f>COUNTIF(Result!$N$15:$N$24,"Pass")</f>
        <v>9</v>
      </c>
      <c r="XFA10" s="46">
        <f>XEZ10/$XEZ$11</f>
        <v>0.9</v>
      </c>
    </row>
    <row r="11" spans="1:11 16375:16381" ht="20.100000000000001" customHeight="1">
      <c r="A11" s="81" t="s">
        <v>34</v>
      </c>
      <c r="B11" s="97"/>
      <c r="C11" s="97"/>
      <c r="D11" s="97"/>
      <c r="E11" s="97"/>
      <c r="F11" s="97"/>
      <c r="G11" s="98"/>
      <c r="K11" t="s">
        <v>111</v>
      </c>
      <c r="XEY11" s="8" t="s">
        <v>42</v>
      </c>
      <c r="XEZ11" s="47">
        <f>COUNTIF(Result!$N$15:$N$24,"Pass")+COUNTIF(Result!$N$15:$N$24,"Fail")</f>
        <v>10</v>
      </c>
    </row>
    <row r="12" spans="1:11 16375:16381" ht="25.5" customHeight="1">
      <c r="A12" s="24"/>
      <c r="B12" s="17" t="s">
        <v>36</v>
      </c>
      <c r="C12" s="17" t="s">
        <v>37</v>
      </c>
      <c r="D12" s="17" t="s">
        <v>38</v>
      </c>
      <c r="E12" s="17" t="s">
        <v>39</v>
      </c>
      <c r="F12" s="17" t="s">
        <v>40</v>
      </c>
      <c r="G12" s="17" t="s">
        <v>41</v>
      </c>
      <c r="XEY12" s="8" t="s">
        <v>43</v>
      </c>
      <c r="XEZ12" s="47">
        <f>COUNTA(Result!$N$15:$N$24)</f>
        <v>10</v>
      </c>
    </row>
    <row r="13" spans="1:11 16375:16381">
      <c r="A13" s="25" t="s">
        <v>113</v>
      </c>
      <c r="B13" s="52">
        <f t="shared" ref="B13:B14" si="0">XFA8</f>
        <v>1</v>
      </c>
      <c r="C13" s="26">
        <f>AVERAGE(Result!$H$15:$H$24)/100</f>
        <v>0.88849999999999996</v>
      </c>
      <c r="D13" s="27">
        <f>MIN(Result!$H$15:$H$24)/100</f>
        <v>0.5</v>
      </c>
      <c r="E13" s="28">
        <f>MAX(Result!$H$15:$H$24)/100</f>
        <v>0.97</v>
      </c>
      <c r="F13" s="28">
        <f>MEDIAN(Result!$H$15:$H$24)/100</f>
        <v>0.95</v>
      </c>
      <c r="G13" s="28">
        <f>_xlfn.STDEV.P(Result!$H$15:$H$24)/100</f>
        <v>0.13461147796529091</v>
      </c>
      <c r="I13" s="30"/>
    </row>
    <row r="14" spans="1:11 16375:16381">
      <c r="A14" s="25" t="s">
        <v>117</v>
      </c>
      <c r="B14" s="52">
        <f t="shared" si="0"/>
        <v>0.9</v>
      </c>
      <c r="C14" s="29">
        <f>AVERAGE(Result!$J$15:$J$24)/50</f>
        <v>0.83400000000000007</v>
      </c>
      <c r="D14" s="29">
        <f>MIN(Result!$J$15:$J$24)/50</f>
        <v>0.28000000000000003</v>
      </c>
      <c r="E14" s="28">
        <f>MAX(Result!$J$15:$J$24)/50</f>
        <v>1</v>
      </c>
      <c r="F14" s="28">
        <f>MEDIAN(Result!$J$15:$J$24)/50</f>
        <v>0.95</v>
      </c>
      <c r="G14" s="28">
        <f>_xlfn.STDEV.P(Result!$J$15:$J$24)/50</f>
        <v>0.22539742678211744</v>
      </c>
      <c r="I14" s="30"/>
    </row>
    <row r="15" spans="1:11 16375:16381">
      <c r="A15" s="51" t="s">
        <v>112</v>
      </c>
      <c r="B15" s="52">
        <f>XFA10</f>
        <v>0.9</v>
      </c>
      <c r="C15" s="28">
        <f>AVERAGE(Result!$L$15:$L$24)/150</f>
        <v>0.8703333333333334</v>
      </c>
      <c r="D15" s="28">
        <f>MIN(Result!L15:L15)/150</f>
        <v>0.93</v>
      </c>
      <c r="E15" s="28">
        <f>MAX(Result!$L$15:$L$24)/150</f>
        <v>0.98</v>
      </c>
      <c r="F15" s="28">
        <f>MEDIAN(Result!$L$15:$L$24)/150</f>
        <v>0.92166666666666663</v>
      </c>
      <c r="G15" s="28">
        <f>_xlfn.STDEV.P(Result!$L$15:$L$24)/150</f>
        <v>0.15744099423805311</v>
      </c>
      <c r="I15" s="30"/>
    </row>
    <row r="16" spans="1:11 16375:16381">
      <c r="A16" s="81" t="s">
        <v>44</v>
      </c>
      <c r="B16" s="99"/>
      <c r="C16" s="99"/>
      <c r="D16" s="99"/>
      <c r="E16" s="99"/>
      <c r="F16" s="99"/>
      <c r="G16" s="100"/>
      <c r="I16" s="30"/>
    </row>
    <row r="17" spans="1:17">
      <c r="A17" s="25" t="s">
        <v>113</v>
      </c>
      <c r="B17" s="67"/>
      <c r="C17" s="68"/>
      <c r="D17" s="69"/>
      <c r="E17" s="70"/>
      <c r="F17" s="70"/>
      <c r="G17" s="70"/>
      <c r="H17" s="71"/>
      <c r="I17" s="71"/>
      <c r="J17" s="71"/>
      <c r="K17" s="71"/>
      <c r="L17" s="71"/>
      <c r="M17" s="71"/>
      <c r="N17" s="65"/>
      <c r="O17" s="65"/>
      <c r="P17" s="62"/>
      <c r="Q17" s="62"/>
    </row>
    <row r="18" spans="1:17">
      <c r="A18" s="25" t="s">
        <v>117</v>
      </c>
      <c r="B18" s="78" t="s">
        <v>129</v>
      </c>
      <c r="C18" s="78"/>
      <c r="D18" s="78"/>
      <c r="E18" s="78"/>
      <c r="F18" s="70"/>
      <c r="G18" s="70"/>
      <c r="H18" s="71"/>
      <c r="I18" s="71"/>
      <c r="J18" s="71"/>
      <c r="K18" s="71"/>
      <c r="L18" s="71"/>
      <c r="M18" s="71"/>
      <c r="N18" s="56"/>
      <c r="O18" s="48"/>
      <c r="P18" s="48"/>
      <c r="Q18" s="57"/>
    </row>
    <row r="19" spans="1:17">
      <c r="A19" s="81" t="s">
        <v>45</v>
      </c>
      <c r="B19" s="82"/>
      <c r="C19" s="82"/>
      <c r="D19" s="82"/>
      <c r="E19" s="82"/>
      <c r="F19" s="82"/>
      <c r="G19" s="83"/>
      <c r="H19" s="54"/>
      <c r="I19" s="55"/>
      <c r="J19" s="60"/>
      <c r="K19" s="55"/>
      <c r="L19" s="55"/>
      <c r="M19" s="55"/>
    </row>
    <row r="20" spans="1:17">
      <c r="A20" s="25" t="s">
        <v>113</v>
      </c>
      <c r="B20" s="78" t="s">
        <v>123</v>
      </c>
      <c r="C20" s="78" t="s">
        <v>126</v>
      </c>
      <c r="D20" s="78"/>
      <c r="E20" s="78"/>
      <c r="F20" s="78"/>
      <c r="G20" s="70"/>
      <c r="H20" s="71"/>
      <c r="I20" s="71"/>
      <c r="J20" s="71"/>
      <c r="K20" s="71"/>
      <c r="L20" s="71"/>
      <c r="M20" s="71"/>
      <c r="N20" s="66"/>
      <c r="O20" s="61"/>
      <c r="P20" s="64"/>
      <c r="Q20" s="64"/>
    </row>
    <row r="21" spans="1:17">
      <c r="A21" s="25" t="s">
        <v>117</v>
      </c>
      <c r="B21" s="78" t="s">
        <v>127</v>
      </c>
      <c r="C21" s="78"/>
      <c r="D21" s="78"/>
      <c r="E21" s="78"/>
      <c r="F21" s="78"/>
      <c r="G21" s="70"/>
      <c r="H21" s="71"/>
      <c r="I21" s="71"/>
      <c r="J21" s="71"/>
      <c r="K21" s="71"/>
      <c r="L21" s="71"/>
      <c r="M21" s="71"/>
      <c r="N21" s="66"/>
      <c r="O21" s="53"/>
      <c r="P21" s="48"/>
      <c r="Q21" s="48"/>
    </row>
    <row r="22" spans="1:17">
      <c r="A22" s="81" t="s">
        <v>49</v>
      </c>
      <c r="B22" s="82"/>
      <c r="C22" s="82"/>
      <c r="D22" s="82"/>
      <c r="E22" s="82"/>
      <c r="F22" s="82"/>
      <c r="G22" s="83"/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</row>
    <row r="23" spans="1:17">
      <c r="A23" s="25" t="s">
        <v>113</v>
      </c>
      <c r="B23" s="78" t="s">
        <v>124</v>
      </c>
      <c r="C23" s="78" t="s">
        <v>125</v>
      </c>
      <c r="D23" s="78"/>
      <c r="E23" s="78"/>
      <c r="F23" s="78"/>
      <c r="G23" s="78"/>
      <c r="J23" s="71"/>
      <c r="K23" s="71"/>
      <c r="L23" s="71"/>
      <c r="M23" s="71"/>
      <c r="N23" s="66"/>
      <c r="O23" s="65"/>
      <c r="P23" s="65"/>
      <c r="Q23" s="65"/>
    </row>
    <row r="24" spans="1:17">
      <c r="A24" s="25" t="s">
        <v>117</v>
      </c>
      <c r="B24" s="78" t="s">
        <v>128</v>
      </c>
      <c r="C24" s="78" t="s">
        <v>122</v>
      </c>
      <c r="D24" s="78"/>
      <c r="E24" s="78"/>
      <c r="F24" s="78"/>
      <c r="G24" s="78"/>
      <c r="J24" s="71"/>
      <c r="K24" s="71"/>
      <c r="L24" s="71"/>
      <c r="M24" s="71"/>
      <c r="N24" s="66"/>
      <c r="O24" s="58"/>
      <c r="P24" s="58"/>
      <c r="Q24" s="58"/>
    </row>
  </sheetData>
  <mergeCells count="13">
    <mergeCell ref="A1:G1"/>
    <mergeCell ref="A2:G2"/>
    <mergeCell ref="B3:G3"/>
    <mergeCell ref="B4:C4"/>
    <mergeCell ref="E4:G4"/>
    <mergeCell ref="A22:G22"/>
    <mergeCell ref="A7:A10"/>
    <mergeCell ref="D7:E10"/>
    <mergeCell ref="B5:G5"/>
    <mergeCell ref="C6:G6"/>
    <mergeCell ref="A11:G11"/>
    <mergeCell ref="A16:G16"/>
    <mergeCell ref="A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zoomScale="86" zoomScaleNormal="86" workbookViewId="0">
      <selection activeCell="A23" sqref="A23"/>
    </sheetView>
  </sheetViews>
  <sheetFormatPr defaultColWidth="9" defaultRowHeight="15"/>
  <cols>
    <col min="2" max="2" width="15.28515625" bestFit="1" customWidth="1"/>
    <col min="3" max="3" width="46.85546875" customWidth="1" collapsed="1"/>
    <col min="4" max="4" width="26.42578125" customWidth="1" collapsed="1"/>
    <col min="5" max="5" width="18.28515625" customWidth="1" collapsed="1"/>
    <col min="6" max="6" width="15.85546875" customWidth="1" collapsed="1"/>
    <col min="7" max="7" width="15.5703125" customWidth="1" collapsed="1"/>
    <col min="8" max="8" width="16.7109375" customWidth="1" collapsed="1"/>
    <col min="9" max="9" width="15.7109375" customWidth="1" collapsed="1"/>
    <col min="10" max="10" width="16.85546875" customWidth="1" collapsed="1"/>
  </cols>
  <sheetData>
    <row r="1" spans="1:2">
      <c r="A1" s="14" t="s">
        <v>20</v>
      </c>
      <c r="B1" s="59">
        <f>Result!B11</f>
        <v>3790631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U189"/>
  <sheetViews>
    <sheetView topLeftCell="BF1" workbookViewId="0">
      <selection activeCell="AO2" sqref="AO2:BU2"/>
    </sheetView>
  </sheetViews>
  <sheetFormatPr defaultColWidth="11.42578125" defaultRowHeight="15"/>
  <sheetData>
    <row r="1" spans="2:73">
      <c r="AO1" s="8">
        <v>12.5</v>
      </c>
      <c r="AP1" s="8">
        <v>12.5</v>
      </c>
      <c r="AQ1" s="8">
        <v>5</v>
      </c>
      <c r="AR1" s="8">
        <v>2.5</v>
      </c>
      <c r="AS1" s="8">
        <v>2.5</v>
      </c>
      <c r="AT1" s="8">
        <v>2.5</v>
      </c>
      <c r="AU1" s="8">
        <v>10</v>
      </c>
      <c r="AV1" s="8">
        <v>2.5</v>
      </c>
      <c r="AW1" s="8">
        <v>10</v>
      </c>
      <c r="AX1" s="8">
        <v>15</v>
      </c>
      <c r="AY1" s="8">
        <v>5</v>
      </c>
      <c r="AZ1" s="8">
        <v>5</v>
      </c>
      <c r="BA1" s="8">
        <v>5</v>
      </c>
      <c r="BB1" s="8">
        <v>10</v>
      </c>
      <c r="BC1" s="8">
        <v>10</v>
      </c>
      <c r="BD1" s="8">
        <v>5</v>
      </c>
      <c r="BE1" s="8">
        <v>5</v>
      </c>
      <c r="BF1" s="8">
        <v>10</v>
      </c>
      <c r="BG1" s="8">
        <v>5</v>
      </c>
      <c r="BH1" s="8">
        <v>5</v>
      </c>
      <c r="BI1" s="8">
        <v>5</v>
      </c>
      <c r="BJ1" s="8">
        <v>5</v>
      </c>
      <c r="BK1" s="8">
        <v>2.5</v>
      </c>
      <c r="BL1" s="8">
        <v>2.5</v>
      </c>
      <c r="BM1" s="8">
        <v>2.5</v>
      </c>
      <c r="BN1" s="8">
        <v>2.5</v>
      </c>
      <c r="BO1" s="8">
        <v>10</v>
      </c>
      <c r="BP1" s="8">
        <v>5</v>
      </c>
      <c r="BQ1" s="8">
        <v>10</v>
      </c>
      <c r="BR1" s="8">
        <v>5</v>
      </c>
      <c r="BS1" s="8">
        <v>5</v>
      </c>
      <c r="BT1" s="8">
        <v>2.5</v>
      </c>
      <c r="BU1" s="8">
        <v>2.5</v>
      </c>
    </row>
    <row r="2" spans="2:73">
      <c r="AO2" s="6">
        <f>AO3/AO1</f>
        <v>0.88</v>
      </c>
      <c r="AP2" s="6">
        <f t="shared" ref="AP2:BU2" si="0">AP3/AP1</f>
        <v>0.98</v>
      </c>
      <c r="AQ2" s="6">
        <f t="shared" si="0"/>
        <v>0.68333333333333335</v>
      </c>
      <c r="AR2" s="6">
        <f t="shared" si="0"/>
        <v>0.93333333333333335</v>
      </c>
      <c r="AS2" s="6">
        <f t="shared" si="0"/>
        <v>1</v>
      </c>
      <c r="AT2" s="6">
        <f t="shared" si="0"/>
        <v>0.6</v>
      </c>
      <c r="AU2" s="6">
        <f t="shared" si="0"/>
        <v>0.84166666666666656</v>
      </c>
      <c r="AV2" s="6">
        <f t="shared" si="0"/>
        <v>0.9</v>
      </c>
      <c r="AW2" s="6">
        <f t="shared" si="0"/>
        <v>0.97633333333333339</v>
      </c>
      <c r="AX2" s="6">
        <f t="shared" si="0"/>
        <v>0.84444444444444444</v>
      </c>
      <c r="AY2" s="6">
        <f t="shared" si="0"/>
        <v>0.81666666666666665</v>
      </c>
      <c r="AZ2" s="6">
        <f t="shared" si="0"/>
        <v>0.9</v>
      </c>
      <c r="BA2" s="6">
        <f t="shared" si="0"/>
        <v>0.98333333333333339</v>
      </c>
      <c r="BB2" s="6">
        <f t="shared" si="0"/>
        <v>1</v>
      </c>
      <c r="BC2" s="6">
        <f t="shared" si="0"/>
        <v>0.90833333333333344</v>
      </c>
      <c r="BD2" s="6">
        <f t="shared" si="0"/>
        <v>0.9</v>
      </c>
      <c r="BE2" s="6">
        <f t="shared" si="0"/>
        <v>0.95</v>
      </c>
      <c r="BF2" s="6">
        <f t="shared" si="0"/>
        <v>0.93333333333333335</v>
      </c>
      <c r="BG2" s="6">
        <f t="shared" si="0"/>
        <v>1</v>
      </c>
      <c r="BH2" s="6">
        <f t="shared" si="0"/>
        <v>0.95</v>
      </c>
      <c r="BI2" s="6">
        <f t="shared" si="0"/>
        <v>1</v>
      </c>
      <c r="BJ2" s="6">
        <f t="shared" si="0"/>
        <v>1</v>
      </c>
      <c r="BK2" s="6">
        <f t="shared" si="0"/>
        <v>0.96666666666666656</v>
      </c>
      <c r="BL2" s="6">
        <f t="shared" si="0"/>
        <v>0.66666666666666674</v>
      </c>
      <c r="BM2" s="6">
        <f t="shared" si="0"/>
        <v>0.93333333333333335</v>
      </c>
      <c r="BN2" s="6">
        <f t="shared" si="0"/>
        <v>1</v>
      </c>
      <c r="BO2" s="6">
        <f t="shared" si="0"/>
        <v>0.95833333333333337</v>
      </c>
      <c r="BP2" s="6">
        <f t="shared" si="0"/>
        <v>0.9</v>
      </c>
      <c r="BQ2" s="6">
        <f t="shared" si="0"/>
        <v>1</v>
      </c>
      <c r="BR2" s="6">
        <f t="shared" si="0"/>
        <v>0.78333333333333333</v>
      </c>
      <c r="BS2" s="6">
        <f t="shared" si="0"/>
        <v>0.96666666666666656</v>
      </c>
      <c r="BT2" s="6">
        <f t="shared" si="0"/>
        <v>0.9</v>
      </c>
      <c r="BU2" s="6">
        <f t="shared" si="0"/>
        <v>0.93333333333333335</v>
      </c>
    </row>
    <row r="3" spans="2:73">
      <c r="AO3" s="13">
        <f t="shared" ref="AO3:BU3" si="1">AVERAGE(AO10:AO68)</f>
        <v>11</v>
      </c>
      <c r="AP3" s="13">
        <f t="shared" si="1"/>
        <v>12.25</v>
      </c>
      <c r="AQ3" s="13">
        <f t="shared" si="1"/>
        <v>3.4166666666666665</v>
      </c>
      <c r="AR3" s="13">
        <f t="shared" si="1"/>
        <v>2.3333333333333335</v>
      </c>
      <c r="AS3" s="13">
        <f t="shared" si="1"/>
        <v>2.5</v>
      </c>
      <c r="AT3" s="13">
        <f t="shared" si="1"/>
        <v>1.5</v>
      </c>
      <c r="AU3" s="13">
        <f t="shared" si="1"/>
        <v>8.4166666666666661</v>
      </c>
      <c r="AV3" s="13">
        <f t="shared" si="1"/>
        <v>2.25</v>
      </c>
      <c r="AW3" s="13">
        <f t="shared" si="1"/>
        <v>9.7633333333333336</v>
      </c>
      <c r="AX3" s="13">
        <f t="shared" si="1"/>
        <v>12.666666666666666</v>
      </c>
      <c r="AY3" s="13">
        <f t="shared" si="1"/>
        <v>4.083333333333333</v>
      </c>
      <c r="AZ3" s="13">
        <f t="shared" si="1"/>
        <v>4.5</v>
      </c>
      <c r="BA3" s="13">
        <f t="shared" si="1"/>
        <v>4.916666666666667</v>
      </c>
      <c r="BB3" s="13">
        <f t="shared" si="1"/>
        <v>10</v>
      </c>
      <c r="BC3" s="13">
        <f t="shared" si="1"/>
        <v>9.0833333333333339</v>
      </c>
      <c r="BD3" s="13">
        <f t="shared" si="1"/>
        <v>4.5</v>
      </c>
      <c r="BE3" s="13">
        <f t="shared" si="1"/>
        <v>4.75</v>
      </c>
      <c r="BF3" s="13">
        <f t="shared" si="1"/>
        <v>9.3333333333333339</v>
      </c>
      <c r="BG3" s="13">
        <f t="shared" si="1"/>
        <v>5</v>
      </c>
      <c r="BH3" s="13">
        <f t="shared" si="1"/>
        <v>4.75</v>
      </c>
      <c r="BI3" s="13">
        <f t="shared" si="1"/>
        <v>5</v>
      </c>
      <c r="BJ3" s="13">
        <f t="shared" si="1"/>
        <v>5</v>
      </c>
      <c r="BK3" s="13">
        <f t="shared" si="1"/>
        <v>2.4166666666666665</v>
      </c>
      <c r="BL3" s="13">
        <f t="shared" si="1"/>
        <v>1.6666666666666667</v>
      </c>
      <c r="BM3" s="13">
        <f t="shared" si="1"/>
        <v>2.3333333333333335</v>
      </c>
      <c r="BN3" s="13">
        <f t="shared" si="1"/>
        <v>2.5</v>
      </c>
      <c r="BO3" s="13">
        <f t="shared" si="1"/>
        <v>9.5833333333333339</v>
      </c>
      <c r="BP3" s="13">
        <f t="shared" si="1"/>
        <v>4.5</v>
      </c>
      <c r="BQ3" s="13">
        <f t="shared" si="1"/>
        <v>10</v>
      </c>
      <c r="BR3" s="13">
        <f t="shared" si="1"/>
        <v>3.9166666666666665</v>
      </c>
      <c r="BS3" s="13">
        <f t="shared" si="1"/>
        <v>4.833333333333333</v>
      </c>
      <c r="BT3" s="13">
        <f t="shared" si="1"/>
        <v>2.25</v>
      </c>
      <c r="BU3" s="13">
        <f t="shared" si="1"/>
        <v>2.3333333333333335</v>
      </c>
    </row>
    <row r="4" spans="2:73">
      <c r="AO4" s="13">
        <f t="shared" ref="AO4:BU4" si="2">MEDIAN(AO10:AO69)</f>
        <v>12.5</v>
      </c>
      <c r="AP4" s="13">
        <f t="shared" si="2"/>
        <v>12.5</v>
      </c>
      <c r="AQ4" s="13">
        <f t="shared" si="2"/>
        <v>2.5</v>
      </c>
      <c r="AR4" s="13">
        <f t="shared" si="2"/>
        <v>2.5</v>
      </c>
      <c r="AS4" s="13">
        <f t="shared" si="2"/>
        <v>2.5</v>
      </c>
      <c r="AT4" s="13">
        <f t="shared" si="2"/>
        <v>2.5</v>
      </c>
      <c r="AU4" s="13">
        <f t="shared" si="2"/>
        <v>7.5</v>
      </c>
      <c r="AV4" s="13">
        <f t="shared" si="2"/>
        <v>2.5</v>
      </c>
      <c r="AW4" s="13">
        <f t="shared" si="2"/>
        <v>9.8000000000000007</v>
      </c>
      <c r="AX4" s="13">
        <f t="shared" si="2"/>
        <v>12.5</v>
      </c>
      <c r="AY4" s="13">
        <f t="shared" si="2"/>
        <v>5</v>
      </c>
      <c r="AZ4" s="13">
        <f t="shared" si="2"/>
        <v>5</v>
      </c>
      <c r="BA4" s="13">
        <f t="shared" si="2"/>
        <v>5</v>
      </c>
      <c r="BB4" s="13">
        <f t="shared" si="2"/>
        <v>10</v>
      </c>
      <c r="BC4" s="13">
        <f t="shared" si="2"/>
        <v>10</v>
      </c>
      <c r="BD4" s="13">
        <f t="shared" si="2"/>
        <v>5</v>
      </c>
      <c r="BE4" s="13">
        <f t="shared" si="2"/>
        <v>5</v>
      </c>
      <c r="BF4" s="13">
        <f t="shared" si="2"/>
        <v>10</v>
      </c>
      <c r="BG4" s="13">
        <f t="shared" si="2"/>
        <v>5</v>
      </c>
      <c r="BH4" s="13">
        <f t="shared" si="2"/>
        <v>5</v>
      </c>
      <c r="BI4" s="13">
        <f t="shared" si="2"/>
        <v>5</v>
      </c>
      <c r="BJ4" s="13">
        <f t="shared" si="2"/>
        <v>5</v>
      </c>
      <c r="BK4" s="13">
        <f t="shared" si="2"/>
        <v>2.5</v>
      </c>
      <c r="BL4" s="13">
        <f t="shared" si="2"/>
        <v>2.5</v>
      </c>
      <c r="BM4" s="13">
        <f t="shared" si="2"/>
        <v>2.5</v>
      </c>
      <c r="BN4" s="13">
        <f t="shared" si="2"/>
        <v>2.5</v>
      </c>
      <c r="BO4" s="13">
        <f t="shared" si="2"/>
        <v>10</v>
      </c>
      <c r="BP4" s="13">
        <f t="shared" si="2"/>
        <v>5</v>
      </c>
      <c r="BQ4" s="13">
        <f t="shared" si="2"/>
        <v>10</v>
      </c>
      <c r="BR4" s="13">
        <f t="shared" si="2"/>
        <v>5</v>
      </c>
      <c r="BS4" s="13">
        <f t="shared" si="2"/>
        <v>5</v>
      </c>
      <c r="BT4" s="13">
        <f t="shared" si="2"/>
        <v>2.5</v>
      </c>
      <c r="BU4" s="13">
        <f t="shared" si="2"/>
        <v>2.5</v>
      </c>
    </row>
    <row r="5" spans="2:73">
      <c r="D5" s="111" t="s">
        <v>64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V5" s="111" t="s">
        <v>65</v>
      </c>
      <c r="W5" s="110"/>
      <c r="X5" s="110"/>
      <c r="Y5" s="110"/>
      <c r="Z5" s="110"/>
      <c r="AA5" s="110"/>
      <c r="AB5" s="110"/>
      <c r="AC5" s="110"/>
      <c r="AD5" s="110"/>
      <c r="AF5" s="111" t="s">
        <v>66</v>
      </c>
      <c r="AG5" s="110"/>
      <c r="AH5" s="110"/>
      <c r="AI5" s="110"/>
      <c r="AJ5" s="110"/>
      <c r="AK5" s="110"/>
      <c r="AL5" s="110"/>
    </row>
    <row r="6" spans="2:73">
      <c r="D6" s="7" t="s">
        <v>50</v>
      </c>
      <c r="E6" s="7" t="s">
        <v>51</v>
      </c>
      <c r="F6" s="7" t="s">
        <v>46</v>
      </c>
      <c r="G6" s="7" t="s">
        <v>52</v>
      </c>
      <c r="H6" s="7" t="s">
        <v>53</v>
      </c>
      <c r="I6" s="7" t="s">
        <v>47</v>
      </c>
      <c r="J6" s="7" t="s">
        <v>48</v>
      </c>
      <c r="K6" s="7" t="s">
        <v>54</v>
      </c>
      <c r="L6" s="7" t="s">
        <v>55</v>
      </c>
      <c r="M6" s="7" t="s">
        <v>56</v>
      </c>
      <c r="N6" s="7" t="s">
        <v>57</v>
      </c>
      <c r="O6" s="7" t="s">
        <v>58</v>
      </c>
      <c r="P6" s="7" t="s">
        <v>59</v>
      </c>
      <c r="Q6" s="7" t="s">
        <v>60</v>
      </c>
      <c r="R6" s="7" t="s">
        <v>61</v>
      </c>
      <c r="S6" s="7" t="s">
        <v>62</v>
      </c>
      <c r="T6" s="7" t="s">
        <v>63</v>
      </c>
      <c r="U6" s="7"/>
      <c r="V6" s="7" t="s">
        <v>50</v>
      </c>
      <c r="W6" s="7" t="s">
        <v>51</v>
      </c>
      <c r="X6" s="7" t="s">
        <v>46</v>
      </c>
      <c r="Y6" s="7" t="s">
        <v>52</v>
      </c>
      <c r="Z6" s="7" t="s">
        <v>53</v>
      </c>
      <c r="AA6" s="7" t="s">
        <v>47</v>
      </c>
      <c r="AB6" s="7" t="s">
        <v>48</v>
      </c>
      <c r="AC6" s="7" t="s">
        <v>54</v>
      </c>
      <c r="AD6" s="7" t="s">
        <v>55</v>
      </c>
      <c r="AE6" s="7"/>
      <c r="AF6" s="7" t="s">
        <v>50</v>
      </c>
      <c r="AG6" s="7" t="s">
        <v>51</v>
      </c>
      <c r="AH6" s="7" t="s">
        <v>46</v>
      </c>
      <c r="AI6" s="7" t="s">
        <v>52</v>
      </c>
      <c r="AJ6" s="7" t="s">
        <v>53</v>
      </c>
      <c r="AK6" s="7" t="s">
        <v>47</v>
      </c>
      <c r="AL6" s="7" t="s">
        <v>48</v>
      </c>
      <c r="AM6" s="11"/>
    </row>
    <row r="7" spans="2:73">
      <c r="C7" s="7"/>
      <c r="AO7" s="111" t="s">
        <v>64</v>
      </c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1" t="s">
        <v>65</v>
      </c>
      <c r="BG7" s="110"/>
      <c r="BH7" s="110"/>
      <c r="BI7" s="110"/>
      <c r="BJ7" s="110"/>
      <c r="BK7" s="110"/>
      <c r="BL7" s="110"/>
      <c r="BM7" s="110"/>
      <c r="BN7" s="110"/>
      <c r="BO7" s="111" t="s">
        <v>66</v>
      </c>
      <c r="BP7" s="110"/>
      <c r="BQ7" s="110"/>
      <c r="BR7" s="110"/>
      <c r="BS7" s="110"/>
      <c r="BT7" s="110"/>
      <c r="BU7" s="110"/>
    </row>
    <row r="8" spans="2:73">
      <c r="B8" s="11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7"/>
      <c r="W8" s="7"/>
      <c r="X8" s="7"/>
      <c r="Y8" s="7"/>
      <c r="Z8" s="7"/>
      <c r="AA8" s="7"/>
      <c r="AB8" s="7"/>
      <c r="AC8" s="7"/>
      <c r="AF8" s="7"/>
      <c r="AG8" s="7"/>
      <c r="AH8" s="7"/>
      <c r="AI8" s="7"/>
      <c r="AJ8" s="7"/>
      <c r="AK8" s="7"/>
      <c r="AO8" s="7" t="s">
        <v>50</v>
      </c>
      <c r="AP8" s="7" t="s">
        <v>51</v>
      </c>
      <c r="AQ8" s="7" t="s">
        <v>46</v>
      </c>
      <c r="AR8" s="7" t="s">
        <v>52</v>
      </c>
      <c r="AS8" s="7" t="s">
        <v>53</v>
      </c>
      <c r="AT8" s="7" t="s">
        <v>47</v>
      </c>
      <c r="AU8" s="7" t="s">
        <v>48</v>
      </c>
      <c r="AV8" s="7" t="s">
        <v>54</v>
      </c>
      <c r="AW8" s="7" t="s">
        <v>55</v>
      </c>
      <c r="AX8" s="7" t="s">
        <v>56</v>
      </c>
      <c r="AY8" s="7" t="s">
        <v>57</v>
      </c>
      <c r="AZ8" s="7" t="s">
        <v>58</v>
      </c>
      <c r="BA8" s="7" t="s">
        <v>59</v>
      </c>
      <c r="BB8" s="7" t="s">
        <v>60</v>
      </c>
      <c r="BC8" s="7" t="s">
        <v>61</v>
      </c>
      <c r="BD8" s="7" t="s">
        <v>62</v>
      </c>
      <c r="BE8" s="7" t="s">
        <v>63</v>
      </c>
      <c r="BF8" s="7" t="s">
        <v>50</v>
      </c>
      <c r="BG8" s="7" t="s">
        <v>51</v>
      </c>
      <c r="BH8" s="7" t="s">
        <v>46</v>
      </c>
      <c r="BI8" s="7" t="s">
        <v>52</v>
      </c>
      <c r="BJ8" s="7" t="s">
        <v>53</v>
      </c>
      <c r="BK8" s="7" t="s">
        <v>47</v>
      </c>
      <c r="BL8" s="7" t="s">
        <v>48</v>
      </c>
      <c r="BM8" s="7" t="s">
        <v>54</v>
      </c>
      <c r="BN8" s="7" t="s">
        <v>55</v>
      </c>
      <c r="BO8" s="7" t="s">
        <v>50</v>
      </c>
      <c r="BP8" s="7" t="s">
        <v>51</v>
      </c>
      <c r="BQ8" s="7" t="s">
        <v>46</v>
      </c>
      <c r="BR8" s="7" t="s">
        <v>52</v>
      </c>
      <c r="BS8" s="7" t="s">
        <v>53</v>
      </c>
      <c r="BT8" s="7" t="s">
        <v>47</v>
      </c>
      <c r="BU8" s="7" t="s">
        <v>48</v>
      </c>
    </row>
    <row r="9" spans="2:73">
      <c r="B9" s="113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12"/>
    </row>
    <row r="10" spans="2:73">
      <c r="B10" s="109" t="s">
        <v>67</v>
      </c>
      <c r="C10" s="9" t="s">
        <v>68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5</v>
      </c>
      <c r="N10" s="7">
        <v>0</v>
      </c>
      <c r="O10" s="7">
        <v>2.5</v>
      </c>
      <c r="P10" s="7">
        <v>5</v>
      </c>
      <c r="Q10" s="7">
        <v>10</v>
      </c>
      <c r="R10" s="7">
        <v>7.5</v>
      </c>
      <c r="S10" s="7">
        <v>0</v>
      </c>
      <c r="T10" s="7">
        <v>0</v>
      </c>
      <c r="U10" s="10">
        <v>30</v>
      </c>
      <c r="V10" s="7">
        <v>5</v>
      </c>
      <c r="W10" s="7">
        <v>0</v>
      </c>
      <c r="X10" s="7">
        <v>5</v>
      </c>
      <c r="Y10" s="7">
        <v>2.5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10">
        <v>12.5</v>
      </c>
      <c r="AF10" s="7">
        <v>5</v>
      </c>
      <c r="AG10" s="7">
        <v>0</v>
      </c>
      <c r="AH10" s="7">
        <v>5</v>
      </c>
      <c r="AI10" s="7">
        <v>0</v>
      </c>
      <c r="AJ10" s="7">
        <v>0</v>
      </c>
      <c r="AK10" s="7">
        <v>0</v>
      </c>
      <c r="AL10" s="7">
        <v>0</v>
      </c>
      <c r="AM10" s="10">
        <v>10</v>
      </c>
      <c r="AN10" s="10"/>
      <c r="AO10">
        <f t="shared" ref="AO10:BE10" si="3">SUM(D10:D11)</f>
        <v>12.5</v>
      </c>
      <c r="AP10">
        <f t="shared" si="3"/>
        <v>12.5</v>
      </c>
      <c r="AQ10">
        <f t="shared" si="3"/>
        <v>5</v>
      </c>
      <c r="AR10">
        <f t="shared" si="3"/>
        <v>2.5</v>
      </c>
      <c r="AS10">
        <f t="shared" si="3"/>
        <v>2.5</v>
      </c>
      <c r="AT10">
        <f t="shared" si="3"/>
        <v>0</v>
      </c>
      <c r="AU10">
        <f t="shared" si="3"/>
        <v>10</v>
      </c>
      <c r="AV10">
        <f t="shared" si="3"/>
        <v>2.5</v>
      </c>
      <c r="AW10">
        <f t="shared" si="3"/>
        <v>9.6</v>
      </c>
      <c r="AX10">
        <f t="shared" si="3"/>
        <v>15</v>
      </c>
      <c r="AY10">
        <f t="shared" si="3"/>
        <v>2.5</v>
      </c>
      <c r="AZ10">
        <f t="shared" si="3"/>
        <v>2.5</v>
      </c>
      <c r="BA10">
        <f t="shared" si="3"/>
        <v>5</v>
      </c>
      <c r="BB10">
        <f t="shared" si="3"/>
        <v>10</v>
      </c>
      <c r="BC10">
        <f t="shared" si="3"/>
        <v>7.5</v>
      </c>
      <c r="BD10">
        <f t="shared" si="3"/>
        <v>5</v>
      </c>
      <c r="BE10">
        <f t="shared" si="3"/>
        <v>5</v>
      </c>
      <c r="BF10">
        <f t="shared" ref="BF10:BN10" si="4">SUM(V10:V11)</f>
        <v>10</v>
      </c>
      <c r="BG10">
        <f t="shared" si="4"/>
        <v>5</v>
      </c>
      <c r="BH10">
        <f t="shared" si="4"/>
        <v>5</v>
      </c>
      <c r="BI10">
        <f t="shared" si="4"/>
        <v>5</v>
      </c>
      <c r="BJ10">
        <f t="shared" si="4"/>
        <v>5</v>
      </c>
      <c r="BK10">
        <f t="shared" si="4"/>
        <v>2.5</v>
      </c>
      <c r="BL10">
        <f t="shared" si="4"/>
        <v>2.5</v>
      </c>
      <c r="BM10">
        <f t="shared" si="4"/>
        <v>2.5</v>
      </c>
      <c r="BN10">
        <f t="shared" si="4"/>
        <v>2.5</v>
      </c>
      <c r="BO10">
        <f t="shared" ref="BO10:BU10" si="5">SUM(AF10:AF11)</f>
        <v>10</v>
      </c>
      <c r="BP10">
        <f t="shared" si="5"/>
        <v>5</v>
      </c>
      <c r="BQ10">
        <f t="shared" si="5"/>
        <v>10</v>
      </c>
      <c r="BR10">
        <f t="shared" si="5"/>
        <v>5</v>
      </c>
      <c r="BS10">
        <f t="shared" si="5"/>
        <v>5</v>
      </c>
      <c r="BT10">
        <f t="shared" si="5"/>
        <v>2.5</v>
      </c>
      <c r="BU10">
        <f t="shared" si="5"/>
        <v>2.5</v>
      </c>
    </row>
    <row r="11" spans="2:73">
      <c r="B11" s="110"/>
      <c r="C11" s="9" t="s">
        <v>69</v>
      </c>
      <c r="D11" s="7">
        <v>12.5</v>
      </c>
      <c r="E11" s="7">
        <v>12.5</v>
      </c>
      <c r="F11" s="7">
        <v>5</v>
      </c>
      <c r="G11" s="7">
        <v>2.5</v>
      </c>
      <c r="H11" s="7">
        <v>2.5</v>
      </c>
      <c r="I11" s="7">
        <v>0</v>
      </c>
      <c r="J11" s="7">
        <v>10</v>
      </c>
      <c r="K11" s="7">
        <v>2.5</v>
      </c>
      <c r="L11" s="7">
        <v>9.6</v>
      </c>
      <c r="M11" s="7">
        <v>10</v>
      </c>
      <c r="N11" s="7">
        <v>2.5</v>
      </c>
      <c r="O11" s="7">
        <v>0</v>
      </c>
      <c r="P11" s="7">
        <v>0</v>
      </c>
      <c r="Q11" s="7">
        <v>0</v>
      </c>
      <c r="R11" s="7">
        <v>0</v>
      </c>
      <c r="S11" s="7">
        <v>5</v>
      </c>
      <c r="T11" s="7">
        <v>5</v>
      </c>
      <c r="U11" s="10">
        <v>79.599999999999994</v>
      </c>
      <c r="V11" s="7">
        <v>5</v>
      </c>
      <c r="W11" s="7">
        <v>5</v>
      </c>
      <c r="X11" s="7">
        <v>0</v>
      </c>
      <c r="Y11" s="7">
        <v>2.5</v>
      </c>
      <c r="Z11" s="7">
        <v>5</v>
      </c>
      <c r="AA11" s="7">
        <v>2.5</v>
      </c>
      <c r="AB11" s="7">
        <v>2.5</v>
      </c>
      <c r="AC11" s="7">
        <v>2.5</v>
      </c>
      <c r="AD11" s="7">
        <v>2.5</v>
      </c>
      <c r="AE11" s="10">
        <v>27.5</v>
      </c>
      <c r="AF11" s="7">
        <v>5</v>
      </c>
      <c r="AG11" s="7">
        <v>5</v>
      </c>
      <c r="AH11" s="7">
        <v>5</v>
      </c>
      <c r="AI11" s="7">
        <v>5</v>
      </c>
      <c r="AJ11" s="7">
        <v>5</v>
      </c>
      <c r="AK11" s="7">
        <v>2.5</v>
      </c>
      <c r="AL11" s="7">
        <v>2.5</v>
      </c>
      <c r="AM11" s="10">
        <v>30</v>
      </c>
      <c r="AN11" s="10"/>
    </row>
    <row r="12" spans="2:73">
      <c r="B12" s="109" t="s">
        <v>70</v>
      </c>
      <c r="C12" s="9" t="s">
        <v>68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5</v>
      </c>
      <c r="N12" s="7">
        <v>0</v>
      </c>
      <c r="O12" s="7">
        <v>5</v>
      </c>
      <c r="P12" s="7">
        <v>5</v>
      </c>
      <c r="Q12" s="7">
        <v>10</v>
      </c>
      <c r="R12" s="7">
        <v>10</v>
      </c>
      <c r="S12" s="7">
        <v>0</v>
      </c>
      <c r="T12" s="7">
        <v>0</v>
      </c>
      <c r="U12" s="10">
        <v>35</v>
      </c>
      <c r="V12" s="7">
        <v>2.5</v>
      </c>
      <c r="W12" s="7">
        <v>0</v>
      </c>
      <c r="X12" s="7">
        <v>2.5</v>
      </c>
      <c r="Y12" s="7">
        <v>2.5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10">
        <v>7.5</v>
      </c>
      <c r="AF12" s="7">
        <v>5</v>
      </c>
      <c r="AG12" s="7">
        <v>0</v>
      </c>
      <c r="AH12" s="7">
        <v>5</v>
      </c>
      <c r="AI12" s="7">
        <v>0</v>
      </c>
      <c r="AJ12" s="7">
        <v>0</v>
      </c>
      <c r="AK12" s="7">
        <v>0</v>
      </c>
      <c r="AL12" s="7">
        <v>0</v>
      </c>
      <c r="AM12" s="10">
        <v>10</v>
      </c>
      <c r="AN12" s="10"/>
      <c r="AO12">
        <f t="shared" ref="AO12:BE12" si="6">SUM(D12:D13)</f>
        <v>10</v>
      </c>
      <c r="AP12">
        <f t="shared" si="6"/>
        <v>12.5</v>
      </c>
      <c r="AQ12">
        <f t="shared" si="6"/>
        <v>5</v>
      </c>
      <c r="AR12">
        <f t="shared" si="6"/>
        <v>2.5</v>
      </c>
      <c r="AS12">
        <f t="shared" si="6"/>
        <v>2.5</v>
      </c>
      <c r="AT12">
        <f t="shared" si="6"/>
        <v>2.5</v>
      </c>
      <c r="AU12">
        <f t="shared" si="6"/>
        <v>10</v>
      </c>
      <c r="AV12">
        <f t="shared" si="6"/>
        <v>2.5</v>
      </c>
      <c r="AW12">
        <f t="shared" si="6"/>
        <v>9.8000000000000007</v>
      </c>
      <c r="AX12">
        <f t="shared" si="6"/>
        <v>15</v>
      </c>
      <c r="AY12">
        <f t="shared" si="6"/>
        <v>2.5</v>
      </c>
      <c r="AZ12">
        <f t="shared" si="6"/>
        <v>5</v>
      </c>
      <c r="BA12">
        <f t="shared" si="6"/>
        <v>5</v>
      </c>
      <c r="BB12">
        <f t="shared" si="6"/>
        <v>10</v>
      </c>
      <c r="BC12">
        <f t="shared" si="6"/>
        <v>10</v>
      </c>
      <c r="BD12">
        <f t="shared" si="6"/>
        <v>5</v>
      </c>
      <c r="BE12">
        <f t="shared" si="6"/>
        <v>5</v>
      </c>
      <c r="BF12">
        <f t="shared" ref="BF12:BN12" si="7">SUM(V12:V13)</f>
        <v>5</v>
      </c>
      <c r="BG12">
        <f t="shared" si="7"/>
        <v>5</v>
      </c>
      <c r="BH12">
        <f t="shared" si="7"/>
        <v>2.5</v>
      </c>
      <c r="BI12">
        <f t="shared" si="7"/>
        <v>5</v>
      </c>
      <c r="BJ12">
        <f t="shared" si="7"/>
        <v>5</v>
      </c>
      <c r="BK12">
        <f t="shared" si="7"/>
        <v>2.5</v>
      </c>
      <c r="BL12">
        <f t="shared" si="7"/>
        <v>2.5</v>
      </c>
      <c r="BM12">
        <f t="shared" si="7"/>
        <v>2.5</v>
      </c>
      <c r="BN12">
        <f t="shared" si="7"/>
        <v>2.5</v>
      </c>
      <c r="BO12">
        <f t="shared" ref="BO12:BU12" si="8">SUM(AF12:AF13)</f>
        <v>10</v>
      </c>
      <c r="BP12">
        <f t="shared" si="8"/>
        <v>5</v>
      </c>
      <c r="BQ12">
        <f t="shared" si="8"/>
        <v>10</v>
      </c>
      <c r="BR12">
        <f t="shared" si="8"/>
        <v>2.5</v>
      </c>
      <c r="BS12">
        <f t="shared" si="8"/>
        <v>5</v>
      </c>
      <c r="BT12">
        <f t="shared" si="8"/>
        <v>2.5</v>
      </c>
      <c r="BU12">
        <f t="shared" si="8"/>
        <v>2.5</v>
      </c>
    </row>
    <row r="13" spans="2:73">
      <c r="B13" s="110"/>
      <c r="C13" s="9" t="s">
        <v>69</v>
      </c>
      <c r="D13" s="7">
        <v>10</v>
      </c>
      <c r="E13" s="7">
        <v>12.5</v>
      </c>
      <c r="F13" s="7">
        <v>5</v>
      </c>
      <c r="G13" s="7">
        <v>2.5</v>
      </c>
      <c r="H13" s="7">
        <v>2.5</v>
      </c>
      <c r="I13" s="7">
        <v>2.5</v>
      </c>
      <c r="J13" s="7">
        <v>10</v>
      </c>
      <c r="K13" s="7">
        <v>2.5</v>
      </c>
      <c r="L13" s="7">
        <v>9.8000000000000007</v>
      </c>
      <c r="M13" s="7">
        <v>10</v>
      </c>
      <c r="N13" s="7">
        <v>2.5</v>
      </c>
      <c r="O13" s="7">
        <v>0</v>
      </c>
      <c r="P13" s="7">
        <v>0</v>
      </c>
      <c r="Q13" s="7">
        <v>0</v>
      </c>
      <c r="R13" s="7">
        <v>0</v>
      </c>
      <c r="S13" s="7">
        <v>5</v>
      </c>
      <c r="T13" s="7">
        <v>5</v>
      </c>
      <c r="U13" s="10">
        <v>79.8</v>
      </c>
      <c r="V13" s="7">
        <v>2.5</v>
      </c>
      <c r="W13" s="7">
        <v>5</v>
      </c>
      <c r="X13" s="7">
        <v>0</v>
      </c>
      <c r="Y13" s="7">
        <v>2.5</v>
      </c>
      <c r="Z13" s="7">
        <v>5</v>
      </c>
      <c r="AA13" s="7">
        <v>2.5</v>
      </c>
      <c r="AB13" s="7">
        <v>2.5</v>
      </c>
      <c r="AC13" s="7">
        <v>2.5</v>
      </c>
      <c r="AD13" s="7">
        <v>2.5</v>
      </c>
      <c r="AE13" s="10">
        <v>25</v>
      </c>
      <c r="AF13" s="7">
        <v>5</v>
      </c>
      <c r="AG13" s="7">
        <v>5</v>
      </c>
      <c r="AH13" s="7">
        <v>5</v>
      </c>
      <c r="AI13" s="7">
        <v>2.5</v>
      </c>
      <c r="AJ13" s="7">
        <v>5</v>
      </c>
      <c r="AK13" s="7">
        <v>2.5</v>
      </c>
      <c r="AL13" s="7">
        <v>2.5</v>
      </c>
      <c r="AM13" s="10">
        <v>27.5</v>
      </c>
      <c r="AN13" s="10"/>
    </row>
    <row r="14" spans="2:73">
      <c r="B14" s="109" t="s">
        <v>71</v>
      </c>
      <c r="C14" s="9" t="s">
        <v>68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5</v>
      </c>
      <c r="N14" s="7">
        <v>0</v>
      </c>
      <c r="O14" s="7">
        <v>5</v>
      </c>
      <c r="P14" s="7">
        <v>5</v>
      </c>
      <c r="Q14" s="7">
        <v>10</v>
      </c>
      <c r="R14" s="7">
        <v>7.5</v>
      </c>
      <c r="S14" s="7">
        <v>0</v>
      </c>
      <c r="T14" s="7">
        <v>0</v>
      </c>
      <c r="U14" s="10">
        <v>32.5</v>
      </c>
      <c r="V14" s="7">
        <v>5</v>
      </c>
      <c r="W14" s="7">
        <v>0</v>
      </c>
      <c r="X14" s="7">
        <v>5</v>
      </c>
      <c r="Y14" s="7">
        <v>2.5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10">
        <v>12.5</v>
      </c>
      <c r="AF14" s="7">
        <v>5</v>
      </c>
      <c r="AG14" s="7">
        <v>0</v>
      </c>
      <c r="AH14" s="7">
        <v>5</v>
      </c>
      <c r="AI14" s="7">
        <v>0</v>
      </c>
      <c r="AJ14" s="7">
        <v>0</v>
      </c>
      <c r="AK14" s="7">
        <v>0</v>
      </c>
      <c r="AL14" s="7">
        <v>0</v>
      </c>
      <c r="AM14" s="10">
        <v>10</v>
      </c>
      <c r="AN14" s="10"/>
      <c r="AO14">
        <f t="shared" ref="AO14:BE14" si="9">SUM(D14:D15)</f>
        <v>12.5</v>
      </c>
      <c r="AP14">
        <f t="shared" si="9"/>
        <v>12.5</v>
      </c>
      <c r="AQ14">
        <f t="shared" si="9"/>
        <v>2.5</v>
      </c>
      <c r="AR14">
        <f t="shared" si="9"/>
        <v>2.5</v>
      </c>
      <c r="AS14">
        <f t="shared" si="9"/>
        <v>2.5</v>
      </c>
      <c r="AT14">
        <f t="shared" si="9"/>
        <v>0</v>
      </c>
      <c r="AU14">
        <f t="shared" si="9"/>
        <v>7.5</v>
      </c>
      <c r="AV14">
        <f t="shared" si="9"/>
        <v>2.5</v>
      </c>
      <c r="AW14">
        <f t="shared" si="9"/>
        <v>9.9</v>
      </c>
      <c r="AX14">
        <f t="shared" si="9"/>
        <v>10</v>
      </c>
      <c r="AY14">
        <f t="shared" si="9"/>
        <v>5</v>
      </c>
      <c r="AZ14">
        <f t="shared" si="9"/>
        <v>5</v>
      </c>
      <c r="BA14">
        <f t="shared" si="9"/>
        <v>5</v>
      </c>
      <c r="BB14">
        <f t="shared" si="9"/>
        <v>10</v>
      </c>
      <c r="BC14">
        <f t="shared" si="9"/>
        <v>7.5</v>
      </c>
      <c r="BD14">
        <f t="shared" si="9"/>
        <v>5</v>
      </c>
      <c r="BE14">
        <f t="shared" si="9"/>
        <v>5</v>
      </c>
      <c r="BF14">
        <f t="shared" ref="BF14:BN14" si="10">SUM(V14:V15)</f>
        <v>10</v>
      </c>
      <c r="BG14">
        <f t="shared" si="10"/>
        <v>5</v>
      </c>
      <c r="BH14">
        <f t="shared" si="10"/>
        <v>5</v>
      </c>
      <c r="BI14">
        <f t="shared" si="10"/>
        <v>5</v>
      </c>
      <c r="BJ14">
        <f t="shared" si="10"/>
        <v>5</v>
      </c>
      <c r="BK14">
        <f t="shared" si="10"/>
        <v>2.5</v>
      </c>
      <c r="BL14">
        <f t="shared" si="10"/>
        <v>2.5</v>
      </c>
      <c r="BM14">
        <f t="shared" si="10"/>
        <v>2.5</v>
      </c>
      <c r="BN14">
        <f t="shared" si="10"/>
        <v>2.5</v>
      </c>
      <c r="BO14">
        <f t="shared" ref="BO14:BU14" si="11">SUM(AF14:AF15)</f>
        <v>10</v>
      </c>
      <c r="BP14">
        <f t="shared" si="11"/>
        <v>5</v>
      </c>
      <c r="BQ14">
        <f t="shared" si="11"/>
        <v>10</v>
      </c>
      <c r="BR14">
        <f t="shared" si="11"/>
        <v>2.5</v>
      </c>
      <c r="BS14">
        <f t="shared" si="11"/>
        <v>5</v>
      </c>
      <c r="BT14">
        <f t="shared" si="11"/>
        <v>2.5</v>
      </c>
      <c r="BU14">
        <f t="shared" si="11"/>
        <v>2.5</v>
      </c>
    </row>
    <row r="15" spans="2:73">
      <c r="B15" s="110"/>
      <c r="C15" s="9" t="s">
        <v>69</v>
      </c>
      <c r="D15" s="7">
        <v>12.5</v>
      </c>
      <c r="E15" s="7">
        <v>12.5</v>
      </c>
      <c r="F15" s="7">
        <v>2.5</v>
      </c>
      <c r="G15" s="7">
        <v>2.5</v>
      </c>
      <c r="H15" s="7">
        <v>2.5</v>
      </c>
      <c r="I15" s="7">
        <v>0</v>
      </c>
      <c r="J15" s="7">
        <v>7.5</v>
      </c>
      <c r="K15" s="7">
        <v>2.5</v>
      </c>
      <c r="L15" s="7">
        <v>9.9</v>
      </c>
      <c r="M15" s="7">
        <v>5</v>
      </c>
      <c r="N15" s="7">
        <v>5</v>
      </c>
      <c r="O15" s="7">
        <v>0</v>
      </c>
      <c r="P15" s="7">
        <v>0</v>
      </c>
      <c r="Q15" s="7">
        <v>0</v>
      </c>
      <c r="R15" s="7">
        <v>0</v>
      </c>
      <c r="S15" s="7">
        <v>5</v>
      </c>
      <c r="T15" s="7">
        <v>5</v>
      </c>
      <c r="U15" s="10">
        <v>72.400000000000006</v>
      </c>
      <c r="V15" s="7">
        <v>5</v>
      </c>
      <c r="W15" s="7">
        <v>5</v>
      </c>
      <c r="X15" s="7">
        <v>0</v>
      </c>
      <c r="Y15" s="7">
        <v>2.5</v>
      </c>
      <c r="Z15" s="7">
        <v>5</v>
      </c>
      <c r="AA15" s="7">
        <v>2.5</v>
      </c>
      <c r="AB15" s="7">
        <v>2.5</v>
      </c>
      <c r="AC15" s="7">
        <v>2.5</v>
      </c>
      <c r="AD15" s="7">
        <v>2.5</v>
      </c>
      <c r="AE15" s="10">
        <v>27.5</v>
      </c>
      <c r="AF15" s="7">
        <v>5</v>
      </c>
      <c r="AG15" s="7">
        <v>5</v>
      </c>
      <c r="AH15" s="7">
        <v>5</v>
      </c>
      <c r="AI15" s="7">
        <v>2.5</v>
      </c>
      <c r="AJ15" s="7">
        <v>5</v>
      </c>
      <c r="AK15" s="7">
        <v>2.5</v>
      </c>
      <c r="AL15" s="7">
        <v>2.5</v>
      </c>
      <c r="AM15" s="10">
        <v>27.5</v>
      </c>
      <c r="AN15" s="10"/>
    </row>
    <row r="16" spans="2:73">
      <c r="B16" s="109" t="s">
        <v>72</v>
      </c>
      <c r="C16" s="9" t="s">
        <v>68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5</v>
      </c>
      <c r="N16" s="7">
        <v>0</v>
      </c>
      <c r="O16" s="7">
        <v>5</v>
      </c>
      <c r="P16" s="7">
        <v>5</v>
      </c>
      <c r="Q16" s="7">
        <v>10</v>
      </c>
      <c r="R16" s="7">
        <v>10</v>
      </c>
      <c r="S16" s="7">
        <v>0</v>
      </c>
      <c r="T16" s="7">
        <v>0</v>
      </c>
      <c r="U16" s="10">
        <v>35</v>
      </c>
      <c r="V16" s="7">
        <v>5</v>
      </c>
      <c r="W16" s="7">
        <v>0</v>
      </c>
      <c r="X16" s="7">
        <v>5</v>
      </c>
      <c r="Y16" s="7">
        <v>2.5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10">
        <v>12.5</v>
      </c>
      <c r="AF16" s="7">
        <v>5</v>
      </c>
      <c r="AG16" s="7">
        <v>0</v>
      </c>
      <c r="AH16" s="7">
        <v>5</v>
      </c>
      <c r="AI16" s="7">
        <v>0</v>
      </c>
      <c r="AJ16" s="7">
        <v>0</v>
      </c>
      <c r="AK16" s="7">
        <v>0</v>
      </c>
      <c r="AL16" s="7">
        <v>0</v>
      </c>
      <c r="AM16" s="10">
        <v>10</v>
      </c>
      <c r="AN16" s="10"/>
      <c r="AO16">
        <f t="shared" ref="AO16:BE16" si="12">SUM(D16:D17)</f>
        <v>12.5</v>
      </c>
      <c r="AP16">
        <f t="shared" si="12"/>
        <v>12.5</v>
      </c>
      <c r="AQ16">
        <f t="shared" si="12"/>
        <v>5</v>
      </c>
      <c r="AR16">
        <f t="shared" si="12"/>
        <v>2.5</v>
      </c>
      <c r="AS16">
        <f t="shared" si="12"/>
        <v>2.5</v>
      </c>
      <c r="AT16">
        <f t="shared" si="12"/>
        <v>2.5</v>
      </c>
      <c r="AU16">
        <f t="shared" si="12"/>
        <v>2.5</v>
      </c>
      <c r="AV16">
        <f t="shared" si="12"/>
        <v>2.5</v>
      </c>
      <c r="AW16">
        <f t="shared" si="12"/>
        <v>9.8000000000000007</v>
      </c>
      <c r="AX16">
        <f t="shared" si="12"/>
        <v>15</v>
      </c>
      <c r="AY16">
        <f t="shared" si="12"/>
        <v>5</v>
      </c>
      <c r="AZ16">
        <f t="shared" si="12"/>
        <v>5</v>
      </c>
      <c r="BA16">
        <f t="shared" si="12"/>
        <v>5</v>
      </c>
      <c r="BB16">
        <f t="shared" si="12"/>
        <v>10</v>
      </c>
      <c r="BC16">
        <f t="shared" si="12"/>
        <v>10</v>
      </c>
      <c r="BD16">
        <f t="shared" si="12"/>
        <v>2.5</v>
      </c>
      <c r="BE16">
        <f t="shared" si="12"/>
        <v>5</v>
      </c>
      <c r="BF16">
        <f t="shared" ref="BF16:BN16" si="13">SUM(V16:V17)</f>
        <v>10</v>
      </c>
      <c r="BG16">
        <f t="shared" si="13"/>
        <v>5</v>
      </c>
      <c r="BH16">
        <f t="shared" si="13"/>
        <v>5</v>
      </c>
      <c r="BI16">
        <f t="shared" si="13"/>
        <v>5</v>
      </c>
      <c r="BJ16">
        <f t="shared" si="13"/>
        <v>5</v>
      </c>
      <c r="BK16">
        <f t="shared" si="13"/>
        <v>2.5</v>
      </c>
      <c r="BL16">
        <f t="shared" si="13"/>
        <v>0</v>
      </c>
      <c r="BM16">
        <f t="shared" si="13"/>
        <v>2.5</v>
      </c>
      <c r="BN16">
        <f t="shared" si="13"/>
        <v>2.5</v>
      </c>
      <c r="BO16">
        <f t="shared" ref="BO16:BU16" si="14">SUM(AF16:AF17)</f>
        <v>10</v>
      </c>
      <c r="BP16">
        <f t="shared" si="14"/>
        <v>2.5</v>
      </c>
      <c r="BQ16">
        <f t="shared" si="14"/>
        <v>10</v>
      </c>
      <c r="BR16">
        <f t="shared" si="14"/>
        <v>5</v>
      </c>
      <c r="BS16">
        <f t="shared" si="14"/>
        <v>5</v>
      </c>
      <c r="BT16">
        <f t="shared" si="14"/>
        <v>2.5</v>
      </c>
      <c r="BU16">
        <f t="shared" si="14"/>
        <v>2.5</v>
      </c>
    </row>
    <row r="17" spans="2:73">
      <c r="B17" s="110"/>
      <c r="C17" s="9" t="s">
        <v>69</v>
      </c>
      <c r="D17" s="7">
        <v>12.5</v>
      </c>
      <c r="E17" s="7">
        <v>12.5</v>
      </c>
      <c r="F17" s="7">
        <v>5</v>
      </c>
      <c r="G17" s="7">
        <v>2.5</v>
      </c>
      <c r="H17" s="7">
        <v>2.5</v>
      </c>
      <c r="I17" s="7">
        <v>2.5</v>
      </c>
      <c r="J17" s="7">
        <v>2.5</v>
      </c>
      <c r="K17" s="7">
        <v>2.5</v>
      </c>
      <c r="L17" s="7">
        <v>9.8000000000000007</v>
      </c>
      <c r="M17" s="7">
        <v>10</v>
      </c>
      <c r="N17" s="7">
        <v>5</v>
      </c>
      <c r="O17" s="7">
        <v>0</v>
      </c>
      <c r="P17" s="7">
        <v>0</v>
      </c>
      <c r="Q17" s="7">
        <v>0</v>
      </c>
      <c r="R17" s="7">
        <v>0</v>
      </c>
      <c r="S17" s="7">
        <v>2.5</v>
      </c>
      <c r="T17" s="7">
        <v>5</v>
      </c>
      <c r="U17" s="10">
        <v>74.8</v>
      </c>
      <c r="V17" s="7">
        <v>5</v>
      </c>
      <c r="W17" s="7">
        <v>5</v>
      </c>
      <c r="X17" s="7">
        <v>0</v>
      </c>
      <c r="Y17" s="7">
        <v>2.5</v>
      </c>
      <c r="Z17" s="7">
        <v>5</v>
      </c>
      <c r="AA17" s="7">
        <v>2.5</v>
      </c>
      <c r="AB17" s="7">
        <v>0</v>
      </c>
      <c r="AC17" s="7">
        <v>2.5</v>
      </c>
      <c r="AD17" s="7">
        <v>2.5</v>
      </c>
      <c r="AE17" s="10">
        <v>25</v>
      </c>
      <c r="AF17" s="7">
        <v>5</v>
      </c>
      <c r="AG17" s="7">
        <v>2.5</v>
      </c>
      <c r="AH17" s="7">
        <v>5</v>
      </c>
      <c r="AI17" s="7">
        <v>5</v>
      </c>
      <c r="AJ17" s="7">
        <v>5</v>
      </c>
      <c r="AK17" s="7">
        <v>2.5</v>
      </c>
      <c r="AL17" s="7">
        <v>2.5</v>
      </c>
      <c r="AM17" s="10">
        <v>27.5</v>
      </c>
      <c r="AN17" s="10"/>
    </row>
    <row r="18" spans="2:73">
      <c r="B18" s="109" t="s">
        <v>73</v>
      </c>
      <c r="C18" s="9" t="s">
        <v>68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5</v>
      </c>
      <c r="N18" s="7">
        <v>0</v>
      </c>
      <c r="O18" s="7">
        <v>2.5</v>
      </c>
      <c r="P18" s="7">
        <v>5</v>
      </c>
      <c r="Q18" s="7">
        <v>10</v>
      </c>
      <c r="R18" s="7">
        <v>10</v>
      </c>
      <c r="S18" s="7">
        <v>0</v>
      </c>
      <c r="T18" s="7">
        <v>0</v>
      </c>
      <c r="U18" s="10">
        <v>32.5</v>
      </c>
      <c r="V18" s="7">
        <v>5</v>
      </c>
      <c r="W18" s="7">
        <v>0</v>
      </c>
      <c r="X18" s="7">
        <v>5</v>
      </c>
      <c r="Y18" s="7">
        <v>2.5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10">
        <v>12.5</v>
      </c>
      <c r="AF18" s="7">
        <v>5</v>
      </c>
      <c r="AG18" s="7">
        <v>0</v>
      </c>
      <c r="AH18" s="7">
        <v>5</v>
      </c>
      <c r="AI18" s="7">
        <v>0</v>
      </c>
      <c r="AJ18" s="7">
        <v>0</v>
      </c>
      <c r="AK18" s="7">
        <v>0</v>
      </c>
      <c r="AL18" s="7">
        <v>0</v>
      </c>
      <c r="AM18" s="10">
        <v>10</v>
      </c>
      <c r="AN18" s="10"/>
      <c r="AO18">
        <f t="shared" ref="AO18:BE18" si="15">SUM(D18:D19)</f>
        <v>12.5</v>
      </c>
      <c r="AP18">
        <f t="shared" si="15"/>
        <v>12.5</v>
      </c>
      <c r="AQ18">
        <f t="shared" si="15"/>
        <v>2.5</v>
      </c>
      <c r="AR18">
        <f t="shared" si="15"/>
        <v>2.5</v>
      </c>
      <c r="AS18">
        <f t="shared" si="15"/>
        <v>2.5</v>
      </c>
      <c r="AT18">
        <f t="shared" si="15"/>
        <v>2.5</v>
      </c>
      <c r="AU18">
        <f t="shared" si="15"/>
        <v>7.5</v>
      </c>
      <c r="AV18">
        <f t="shared" si="15"/>
        <v>2.5</v>
      </c>
      <c r="AW18">
        <f t="shared" si="15"/>
        <v>9.6999999999999993</v>
      </c>
      <c r="AX18">
        <f t="shared" si="15"/>
        <v>15</v>
      </c>
      <c r="AY18">
        <f t="shared" si="15"/>
        <v>5</v>
      </c>
      <c r="AZ18">
        <f t="shared" si="15"/>
        <v>2.5</v>
      </c>
      <c r="BA18">
        <f t="shared" si="15"/>
        <v>5</v>
      </c>
      <c r="BB18">
        <f t="shared" si="15"/>
        <v>10</v>
      </c>
      <c r="BC18">
        <f t="shared" si="15"/>
        <v>10</v>
      </c>
      <c r="BD18">
        <f t="shared" si="15"/>
        <v>5</v>
      </c>
      <c r="BE18">
        <f t="shared" si="15"/>
        <v>5</v>
      </c>
      <c r="BF18">
        <f t="shared" ref="BF18:BN18" si="16">SUM(V18:V19)</f>
        <v>10</v>
      </c>
      <c r="BG18">
        <f t="shared" si="16"/>
        <v>5</v>
      </c>
      <c r="BH18">
        <f t="shared" si="16"/>
        <v>5</v>
      </c>
      <c r="BI18">
        <f t="shared" si="16"/>
        <v>5</v>
      </c>
      <c r="BJ18">
        <f t="shared" si="16"/>
        <v>5</v>
      </c>
      <c r="BK18">
        <f t="shared" si="16"/>
        <v>2.5</v>
      </c>
      <c r="BL18">
        <f t="shared" si="16"/>
        <v>2.5</v>
      </c>
      <c r="BM18">
        <f t="shared" si="16"/>
        <v>2.5</v>
      </c>
      <c r="BN18">
        <f t="shared" si="16"/>
        <v>2.5</v>
      </c>
      <c r="BO18">
        <f t="shared" ref="BO18:BU18" si="17">SUM(AF18:AF19)</f>
        <v>10</v>
      </c>
      <c r="BP18">
        <f t="shared" si="17"/>
        <v>5</v>
      </c>
      <c r="BQ18">
        <f t="shared" si="17"/>
        <v>10</v>
      </c>
      <c r="BR18">
        <f t="shared" si="17"/>
        <v>2.5</v>
      </c>
      <c r="BS18">
        <f t="shared" si="17"/>
        <v>5</v>
      </c>
      <c r="BT18">
        <f t="shared" si="17"/>
        <v>2.5</v>
      </c>
      <c r="BU18">
        <f t="shared" si="17"/>
        <v>2.5</v>
      </c>
    </row>
    <row r="19" spans="2:73">
      <c r="B19" s="110"/>
      <c r="C19" s="9" t="s">
        <v>69</v>
      </c>
      <c r="D19" s="7">
        <v>12.5</v>
      </c>
      <c r="E19" s="7">
        <v>12.5</v>
      </c>
      <c r="F19" s="7">
        <v>2.5</v>
      </c>
      <c r="G19" s="7">
        <v>2.5</v>
      </c>
      <c r="H19" s="7">
        <v>2.5</v>
      </c>
      <c r="I19" s="7">
        <v>2.5</v>
      </c>
      <c r="J19" s="7">
        <v>7.5</v>
      </c>
      <c r="K19" s="7">
        <v>2.5</v>
      </c>
      <c r="L19" s="7">
        <v>9.6999999999999993</v>
      </c>
      <c r="M19" s="7">
        <v>10</v>
      </c>
      <c r="N19" s="7">
        <v>5</v>
      </c>
      <c r="O19" s="7">
        <v>0</v>
      </c>
      <c r="P19" s="7">
        <v>0</v>
      </c>
      <c r="Q19" s="7">
        <v>0</v>
      </c>
      <c r="R19" s="7">
        <v>0</v>
      </c>
      <c r="S19" s="7">
        <v>5</v>
      </c>
      <c r="T19" s="7">
        <v>5</v>
      </c>
      <c r="U19" s="10">
        <v>79.7</v>
      </c>
      <c r="V19" s="7">
        <v>5</v>
      </c>
      <c r="W19" s="7">
        <v>5</v>
      </c>
      <c r="X19" s="7">
        <v>0</v>
      </c>
      <c r="Y19" s="7">
        <v>2.5</v>
      </c>
      <c r="Z19" s="7">
        <v>5</v>
      </c>
      <c r="AA19" s="7">
        <v>2.5</v>
      </c>
      <c r="AB19" s="7">
        <v>2.5</v>
      </c>
      <c r="AC19" s="7">
        <v>2.5</v>
      </c>
      <c r="AD19" s="7">
        <v>2.5</v>
      </c>
      <c r="AE19" s="10">
        <v>27.5</v>
      </c>
      <c r="AF19" s="7">
        <v>5</v>
      </c>
      <c r="AG19" s="7">
        <v>5</v>
      </c>
      <c r="AH19" s="7">
        <v>5</v>
      </c>
      <c r="AI19" s="7">
        <v>2.5</v>
      </c>
      <c r="AJ19" s="7">
        <v>5</v>
      </c>
      <c r="AK19" s="7">
        <v>2.5</v>
      </c>
      <c r="AL19" s="7">
        <v>2.5</v>
      </c>
      <c r="AM19" s="10">
        <v>27.5</v>
      </c>
      <c r="AN19" s="10"/>
    </row>
    <row r="20" spans="2:73">
      <c r="B20" s="109" t="s">
        <v>74</v>
      </c>
      <c r="C20" s="9" t="s">
        <v>68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5</v>
      </c>
      <c r="N20" s="7">
        <v>0</v>
      </c>
      <c r="O20" s="7">
        <v>5</v>
      </c>
      <c r="P20" s="7">
        <v>5</v>
      </c>
      <c r="Q20" s="7">
        <v>10</v>
      </c>
      <c r="R20" s="7">
        <v>7.5</v>
      </c>
      <c r="S20" s="7">
        <v>0</v>
      </c>
      <c r="T20" s="7">
        <v>0</v>
      </c>
      <c r="U20" s="10">
        <v>32.5</v>
      </c>
      <c r="V20" s="7">
        <v>5</v>
      </c>
      <c r="W20" s="7">
        <v>0</v>
      </c>
      <c r="X20" s="7">
        <v>5</v>
      </c>
      <c r="Y20" s="7">
        <v>2.5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10">
        <v>12.5</v>
      </c>
      <c r="AF20" s="7">
        <v>2.5</v>
      </c>
      <c r="AG20" s="7">
        <v>0</v>
      </c>
      <c r="AH20" s="7">
        <v>5</v>
      </c>
      <c r="AI20" s="7">
        <v>0</v>
      </c>
      <c r="AJ20" s="7">
        <v>0</v>
      </c>
      <c r="AK20" s="7">
        <v>0</v>
      </c>
      <c r="AL20" s="7">
        <v>0</v>
      </c>
      <c r="AM20" s="10">
        <v>7.5</v>
      </c>
      <c r="AN20" s="10"/>
      <c r="AO20">
        <f t="shared" ref="AO20:BE20" si="18">SUM(D20:D21)</f>
        <v>12.5</v>
      </c>
      <c r="AP20">
        <f t="shared" si="18"/>
        <v>10</v>
      </c>
      <c r="AQ20">
        <f t="shared" si="18"/>
        <v>5</v>
      </c>
      <c r="AR20">
        <f t="shared" si="18"/>
        <v>2.5</v>
      </c>
      <c r="AS20">
        <f t="shared" si="18"/>
        <v>2.5</v>
      </c>
      <c r="AT20">
        <f t="shared" si="18"/>
        <v>0</v>
      </c>
      <c r="AU20">
        <f t="shared" si="18"/>
        <v>10</v>
      </c>
      <c r="AV20">
        <f t="shared" si="18"/>
        <v>2.5</v>
      </c>
      <c r="AW20">
        <f t="shared" si="18"/>
        <v>9.5</v>
      </c>
      <c r="AX20">
        <f t="shared" si="18"/>
        <v>15</v>
      </c>
      <c r="AY20">
        <f t="shared" si="18"/>
        <v>2.5</v>
      </c>
      <c r="AZ20">
        <f t="shared" si="18"/>
        <v>5</v>
      </c>
      <c r="BA20">
        <f t="shared" si="18"/>
        <v>5</v>
      </c>
      <c r="BB20">
        <f t="shared" si="18"/>
        <v>10</v>
      </c>
      <c r="BC20">
        <f t="shared" si="18"/>
        <v>7.5</v>
      </c>
      <c r="BD20">
        <f t="shared" si="18"/>
        <v>5</v>
      </c>
      <c r="BE20">
        <f t="shared" si="18"/>
        <v>5</v>
      </c>
      <c r="BF20">
        <f t="shared" ref="BF20:BN20" si="19">SUM(V20:V21)</f>
        <v>10</v>
      </c>
      <c r="BG20">
        <f t="shared" si="19"/>
        <v>5</v>
      </c>
      <c r="BH20">
        <f t="shared" si="19"/>
        <v>5</v>
      </c>
      <c r="BI20">
        <f t="shared" si="19"/>
        <v>5</v>
      </c>
      <c r="BJ20">
        <f t="shared" si="19"/>
        <v>5</v>
      </c>
      <c r="BK20">
        <f t="shared" si="19"/>
        <v>2.5</v>
      </c>
      <c r="BL20">
        <f t="shared" si="19"/>
        <v>0</v>
      </c>
      <c r="BM20">
        <f t="shared" si="19"/>
        <v>2.5</v>
      </c>
      <c r="BN20">
        <f t="shared" si="19"/>
        <v>2.5</v>
      </c>
      <c r="BO20">
        <f t="shared" ref="BO20:BU20" si="20">SUM(AF20:AF21)</f>
        <v>7.5</v>
      </c>
      <c r="BP20">
        <f t="shared" si="20"/>
        <v>5</v>
      </c>
      <c r="BQ20">
        <f t="shared" si="20"/>
        <v>10</v>
      </c>
      <c r="BR20">
        <f t="shared" si="20"/>
        <v>2.5</v>
      </c>
      <c r="BS20">
        <f t="shared" si="20"/>
        <v>5</v>
      </c>
      <c r="BT20">
        <f t="shared" si="20"/>
        <v>2.5</v>
      </c>
      <c r="BU20">
        <f t="shared" si="20"/>
        <v>2.5</v>
      </c>
    </row>
    <row r="21" spans="2:73">
      <c r="B21" s="110"/>
      <c r="C21" s="9" t="s">
        <v>69</v>
      </c>
      <c r="D21" s="7">
        <v>12.5</v>
      </c>
      <c r="E21" s="7">
        <v>10</v>
      </c>
      <c r="F21" s="7">
        <v>5</v>
      </c>
      <c r="G21" s="7">
        <v>2.5</v>
      </c>
      <c r="H21" s="7">
        <v>2.5</v>
      </c>
      <c r="I21" s="7">
        <v>0</v>
      </c>
      <c r="J21" s="7">
        <v>10</v>
      </c>
      <c r="K21" s="7">
        <v>2.5</v>
      </c>
      <c r="L21" s="7">
        <v>9.5</v>
      </c>
      <c r="M21" s="7">
        <v>10</v>
      </c>
      <c r="N21" s="7">
        <v>2.5</v>
      </c>
      <c r="O21" s="7">
        <v>0</v>
      </c>
      <c r="P21" s="7">
        <v>0</v>
      </c>
      <c r="Q21" s="7">
        <v>0</v>
      </c>
      <c r="R21" s="7">
        <v>0</v>
      </c>
      <c r="S21" s="7">
        <v>5</v>
      </c>
      <c r="T21" s="7">
        <v>5</v>
      </c>
      <c r="U21" s="10">
        <v>77</v>
      </c>
      <c r="V21" s="7">
        <v>5</v>
      </c>
      <c r="W21" s="7">
        <v>5</v>
      </c>
      <c r="X21" s="7">
        <v>0</v>
      </c>
      <c r="Y21" s="7">
        <v>2.5</v>
      </c>
      <c r="Z21" s="7">
        <v>5</v>
      </c>
      <c r="AA21" s="7">
        <v>2.5</v>
      </c>
      <c r="AB21" s="7">
        <v>0</v>
      </c>
      <c r="AC21" s="7">
        <v>2.5</v>
      </c>
      <c r="AD21" s="7">
        <v>2.5</v>
      </c>
      <c r="AE21" s="10">
        <v>25</v>
      </c>
      <c r="AF21" s="7">
        <v>5</v>
      </c>
      <c r="AG21" s="7">
        <v>5</v>
      </c>
      <c r="AH21" s="7">
        <v>5</v>
      </c>
      <c r="AI21" s="7">
        <v>2.5</v>
      </c>
      <c r="AJ21" s="7">
        <v>5</v>
      </c>
      <c r="AK21" s="7">
        <v>2.5</v>
      </c>
      <c r="AL21" s="7">
        <v>2.5</v>
      </c>
      <c r="AM21" s="10">
        <v>27.5</v>
      </c>
      <c r="AN21" s="10"/>
    </row>
    <row r="22" spans="2:73">
      <c r="B22" s="109" t="s">
        <v>75</v>
      </c>
      <c r="C22" s="9" t="s">
        <v>68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5</v>
      </c>
      <c r="N22" s="7">
        <v>0</v>
      </c>
      <c r="O22" s="7">
        <v>5</v>
      </c>
      <c r="P22" s="7">
        <v>5</v>
      </c>
      <c r="Q22" s="7">
        <v>10</v>
      </c>
      <c r="R22" s="7">
        <v>10</v>
      </c>
      <c r="S22" s="7">
        <v>0</v>
      </c>
      <c r="T22" s="7">
        <v>0</v>
      </c>
      <c r="U22" s="10">
        <v>35</v>
      </c>
      <c r="V22" s="7">
        <v>5</v>
      </c>
      <c r="W22" s="7">
        <v>0</v>
      </c>
      <c r="X22" s="7">
        <v>5</v>
      </c>
      <c r="Y22" s="7">
        <v>2.5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10">
        <v>12.5</v>
      </c>
      <c r="AF22" s="7">
        <v>5</v>
      </c>
      <c r="AG22" s="7">
        <v>0</v>
      </c>
      <c r="AH22" s="7">
        <v>5</v>
      </c>
      <c r="AI22" s="7">
        <v>0</v>
      </c>
      <c r="AJ22" s="7">
        <v>0</v>
      </c>
      <c r="AK22" s="7">
        <v>0</v>
      </c>
      <c r="AL22" s="7">
        <v>0</v>
      </c>
      <c r="AM22" s="10">
        <v>10</v>
      </c>
      <c r="AN22" s="10"/>
      <c r="AO22">
        <f t="shared" ref="AO22:BE22" si="21">SUM(D22:D23)</f>
        <v>7.5</v>
      </c>
      <c r="AP22">
        <f t="shared" si="21"/>
        <v>12.5</v>
      </c>
      <c r="AQ22">
        <f t="shared" si="21"/>
        <v>2.5</v>
      </c>
      <c r="AR22">
        <f t="shared" si="21"/>
        <v>2.5</v>
      </c>
      <c r="AS22">
        <f t="shared" si="21"/>
        <v>2.5</v>
      </c>
      <c r="AT22">
        <f t="shared" si="21"/>
        <v>2.5</v>
      </c>
      <c r="AU22">
        <f t="shared" si="21"/>
        <v>10</v>
      </c>
      <c r="AV22">
        <f t="shared" si="21"/>
        <v>2.5</v>
      </c>
      <c r="AW22">
        <f t="shared" si="21"/>
        <v>9.8000000000000007</v>
      </c>
      <c r="AX22">
        <f t="shared" si="21"/>
        <v>12.5</v>
      </c>
      <c r="AY22">
        <f t="shared" si="21"/>
        <v>2.5</v>
      </c>
      <c r="AZ22">
        <f t="shared" si="21"/>
        <v>5</v>
      </c>
      <c r="BA22">
        <f t="shared" si="21"/>
        <v>5</v>
      </c>
      <c r="BB22">
        <f t="shared" si="21"/>
        <v>10</v>
      </c>
      <c r="BC22">
        <f t="shared" si="21"/>
        <v>10</v>
      </c>
      <c r="BD22">
        <f t="shared" si="21"/>
        <v>2.5</v>
      </c>
      <c r="BE22">
        <f t="shared" si="21"/>
        <v>5</v>
      </c>
      <c r="BF22">
        <f t="shared" ref="BF22:BN22" si="22">SUM(V22:V23)</f>
        <v>10</v>
      </c>
      <c r="BG22">
        <f t="shared" si="22"/>
        <v>5</v>
      </c>
      <c r="BH22">
        <f t="shared" si="22"/>
        <v>5</v>
      </c>
      <c r="BI22">
        <f t="shared" si="22"/>
        <v>5</v>
      </c>
      <c r="BJ22">
        <f t="shared" si="22"/>
        <v>5</v>
      </c>
      <c r="BK22">
        <f t="shared" si="22"/>
        <v>2.5</v>
      </c>
      <c r="BL22">
        <f t="shared" si="22"/>
        <v>2.5</v>
      </c>
      <c r="BM22">
        <f t="shared" si="22"/>
        <v>2.5</v>
      </c>
      <c r="BN22">
        <f t="shared" si="22"/>
        <v>2.5</v>
      </c>
      <c r="BO22">
        <f t="shared" ref="BO22:BU22" si="23">SUM(AF22:AF23)</f>
        <v>10</v>
      </c>
      <c r="BP22">
        <f t="shared" si="23"/>
        <v>5</v>
      </c>
      <c r="BQ22">
        <f t="shared" si="23"/>
        <v>10</v>
      </c>
      <c r="BR22">
        <f t="shared" si="23"/>
        <v>2.5</v>
      </c>
      <c r="BS22">
        <f t="shared" si="23"/>
        <v>5</v>
      </c>
      <c r="BT22">
        <f t="shared" si="23"/>
        <v>2.5</v>
      </c>
      <c r="BU22">
        <f t="shared" si="23"/>
        <v>2.5</v>
      </c>
    </row>
    <row r="23" spans="2:73">
      <c r="B23" s="110"/>
      <c r="C23" s="9" t="s">
        <v>69</v>
      </c>
      <c r="D23" s="7">
        <v>7.5</v>
      </c>
      <c r="E23" s="7">
        <v>12.5</v>
      </c>
      <c r="F23" s="7">
        <v>2.5</v>
      </c>
      <c r="G23" s="7">
        <v>2.5</v>
      </c>
      <c r="H23" s="7">
        <v>2.5</v>
      </c>
      <c r="I23" s="7">
        <v>2.5</v>
      </c>
      <c r="J23" s="7">
        <v>10</v>
      </c>
      <c r="K23" s="7">
        <v>2.5</v>
      </c>
      <c r="L23" s="7">
        <v>9.8000000000000007</v>
      </c>
      <c r="M23" s="7">
        <v>7.5</v>
      </c>
      <c r="N23" s="7">
        <v>2.5</v>
      </c>
      <c r="O23" s="7">
        <v>0</v>
      </c>
      <c r="P23" s="7">
        <v>0</v>
      </c>
      <c r="Q23" s="7">
        <v>0</v>
      </c>
      <c r="R23" s="7">
        <v>0</v>
      </c>
      <c r="S23" s="7">
        <v>2.5</v>
      </c>
      <c r="T23" s="7">
        <v>5</v>
      </c>
      <c r="U23" s="10">
        <v>69.8</v>
      </c>
      <c r="V23" s="7">
        <v>5</v>
      </c>
      <c r="W23" s="7">
        <v>5</v>
      </c>
      <c r="X23" s="7">
        <v>0</v>
      </c>
      <c r="Y23" s="7">
        <v>2.5</v>
      </c>
      <c r="Z23" s="7">
        <v>5</v>
      </c>
      <c r="AA23" s="7">
        <v>2.5</v>
      </c>
      <c r="AB23" s="7">
        <v>2.5</v>
      </c>
      <c r="AC23" s="7">
        <v>2.5</v>
      </c>
      <c r="AD23" s="7">
        <v>2.5</v>
      </c>
      <c r="AE23" s="10">
        <v>27.5</v>
      </c>
      <c r="AF23" s="7">
        <v>5</v>
      </c>
      <c r="AG23" s="7">
        <v>5</v>
      </c>
      <c r="AH23" s="7">
        <v>5</v>
      </c>
      <c r="AI23" s="7">
        <v>2.5</v>
      </c>
      <c r="AJ23" s="7">
        <v>5</v>
      </c>
      <c r="AK23" s="7">
        <v>2.5</v>
      </c>
      <c r="AL23" s="7">
        <v>2.5</v>
      </c>
      <c r="AM23" s="10">
        <v>27.5</v>
      </c>
      <c r="AN23" s="10"/>
    </row>
    <row r="24" spans="2:73">
      <c r="B24" s="109" t="s">
        <v>76</v>
      </c>
      <c r="C24" s="9" t="s">
        <v>68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5</v>
      </c>
      <c r="N24" s="7">
        <v>0</v>
      </c>
      <c r="O24" s="7">
        <v>5</v>
      </c>
      <c r="P24" s="7">
        <v>5</v>
      </c>
      <c r="Q24" s="7">
        <v>10</v>
      </c>
      <c r="R24" s="7">
        <v>10</v>
      </c>
      <c r="S24" s="7">
        <v>0</v>
      </c>
      <c r="T24" s="7">
        <v>0</v>
      </c>
      <c r="U24" s="10">
        <v>35</v>
      </c>
      <c r="V24" s="7">
        <v>5</v>
      </c>
      <c r="W24" s="7">
        <v>0</v>
      </c>
      <c r="X24" s="7">
        <v>5</v>
      </c>
      <c r="Y24" s="7">
        <v>2.5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10">
        <v>12.5</v>
      </c>
      <c r="AF24" s="7">
        <v>5</v>
      </c>
      <c r="AG24" s="7">
        <v>0</v>
      </c>
      <c r="AH24" s="7">
        <v>5</v>
      </c>
      <c r="AI24" s="7">
        <v>0</v>
      </c>
      <c r="AJ24" s="7">
        <v>0</v>
      </c>
      <c r="AK24" s="7">
        <v>0</v>
      </c>
      <c r="AL24" s="7">
        <v>0</v>
      </c>
      <c r="AM24" s="10">
        <v>10</v>
      </c>
      <c r="AN24" s="10"/>
      <c r="AO24">
        <f t="shared" ref="AO24:BE24" si="24">SUM(D24:D25)</f>
        <v>12.5</v>
      </c>
      <c r="AP24">
        <f t="shared" si="24"/>
        <v>12.5</v>
      </c>
      <c r="AQ24">
        <f t="shared" si="24"/>
        <v>2.5</v>
      </c>
      <c r="AR24">
        <f t="shared" si="24"/>
        <v>2.5</v>
      </c>
      <c r="AS24">
        <f t="shared" si="24"/>
        <v>2.5</v>
      </c>
      <c r="AT24">
        <f t="shared" si="24"/>
        <v>2.5</v>
      </c>
      <c r="AU24">
        <f t="shared" si="24"/>
        <v>10</v>
      </c>
      <c r="AV24">
        <f t="shared" si="24"/>
        <v>2.5</v>
      </c>
      <c r="AW24">
        <f t="shared" si="24"/>
        <v>9.8000000000000007</v>
      </c>
      <c r="AX24">
        <f t="shared" si="24"/>
        <v>15</v>
      </c>
      <c r="AY24">
        <f t="shared" si="24"/>
        <v>5</v>
      </c>
      <c r="AZ24">
        <f t="shared" si="24"/>
        <v>5</v>
      </c>
      <c r="BA24">
        <f t="shared" si="24"/>
        <v>5</v>
      </c>
      <c r="BB24">
        <f t="shared" si="24"/>
        <v>10</v>
      </c>
      <c r="BC24">
        <f t="shared" si="24"/>
        <v>10</v>
      </c>
      <c r="BD24">
        <f t="shared" si="24"/>
        <v>5</v>
      </c>
      <c r="BE24">
        <f t="shared" si="24"/>
        <v>5</v>
      </c>
      <c r="BF24">
        <f t="shared" ref="BF24:BN24" si="25">SUM(V24:V25)</f>
        <v>10</v>
      </c>
      <c r="BG24">
        <f t="shared" si="25"/>
        <v>5</v>
      </c>
      <c r="BH24">
        <f t="shared" si="25"/>
        <v>5</v>
      </c>
      <c r="BI24">
        <f t="shared" si="25"/>
        <v>5</v>
      </c>
      <c r="BJ24">
        <f t="shared" si="25"/>
        <v>5</v>
      </c>
      <c r="BK24">
        <f t="shared" si="25"/>
        <v>2.5</v>
      </c>
      <c r="BL24">
        <f t="shared" si="25"/>
        <v>2.5</v>
      </c>
      <c r="BM24">
        <f t="shared" si="25"/>
        <v>2.5</v>
      </c>
      <c r="BN24">
        <f t="shared" si="25"/>
        <v>2.5</v>
      </c>
      <c r="BO24">
        <f t="shared" ref="BO24:BU24" si="26">SUM(AF24:AF25)</f>
        <v>10</v>
      </c>
      <c r="BP24">
        <f t="shared" si="26"/>
        <v>5</v>
      </c>
      <c r="BQ24">
        <f t="shared" si="26"/>
        <v>10</v>
      </c>
      <c r="BR24">
        <f t="shared" si="26"/>
        <v>5</v>
      </c>
      <c r="BS24">
        <f t="shared" si="26"/>
        <v>5</v>
      </c>
      <c r="BT24">
        <f t="shared" si="26"/>
        <v>2.5</v>
      </c>
      <c r="BU24">
        <f t="shared" si="26"/>
        <v>2.5</v>
      </c>
    </row>
    <row r="25" spans="2:73">
      <c r="B25" s="110"/>
      <c r="C25" s="9" t="s">
        <v>69</v>
      </c>
      <c r="D25" s="7">
        <v>12.5</v>
      </c>
      <c r="E25" s="7">
        <v>12.5</v>
      </c>
      <c r="F25" s="7">
        <v>2.5</v>
      </c>
      <c r="G25" s="7">
        <v>2.5</v>
      </c>
      <c r="H25" s="7">
        <v>2.5</v>
      </c>
      <c r="I25" s="7">
        <v>2.5</v>
      </c>
      <c r="J25" s="7">
        <v>10</v>
      </c>
      <c r="K25" s="7">
        <v>2.5</v>
      </c>
      <c r="L25" s="7">
        <v>9.8000000000000007</v>
      </c>
      <c r="M25" s="7">
        <v>10</v>
      </c>
      <c r="N25" s="7">
        <v>5</v>
      </c>
      <c r="O25" s="7">
        <v>0</v>
      </c>
      <c r="P25" s="7">
        <v>0</v>
      </c>
      <c r="Q25" s="7">
        <v>0</v>
      </c>
      <c r="R25" s="7">
        <v>0</v>
      </c>
      <c r="S25" s="7">
        <v>5</v>
      </c>
      <c r="T25" s="7">
        <v>5</v>
      </c>
      <c r="U25" s="10">
        <v>82.3</v>
      </c>
      <c r="V25" s="7">
        <v>5</v>
      </c>
      <c r="W25" s="7">
        <v>5</v>
      </c>
      <c r="X25" s="7">
        <v>0</v>
      </c>
      <c r="Y25" s="7">
        <v>2.5</v>
      </c>
      <c r="Z25" s="7">
        <v>5</v>
      </c>
      <c r="AA25" s="7">
        <v>2.5</v>
      </c>
      <c r="AB25" s="7">
        <v>2.5</v>
      </c>
      <c r="AC25" s="7">
        <v>2.5</v>
      </c>
      <c r="AD25" s="7">
        <v>2.5</v>
      </c>
      <c r="AE25" s="10">
        <v>27.5</v>
      </c>
      <c r="AF25" s="7">
        <v>5</v>
      </c>
      <c r="AG25" s="7">
        <v>5</v>
      </c>
      <c r="AH25" s="7">
        <v>5</v>
      </c>
      <c r="AI25" s="7">
        <v>5</v>
      </c>
      <c r="AJ25" s="7">
        <v>5</v>
      </c>
      <c r="AK25" s="7">
        <v>2.5</v>
      </c>
      <c r="AL25" s="7">
        <v>2.5</v>
      </c>
      <c r="AM25" s="10">
        <v>30</v>
      </c>
      <c r="AN25" s="10"/>
    </row>
    <row r="26" spans="2:73">
      <c r="B26" s="109" t="s">
        <v>77</v>
      </c>
      <c r="C26" s="9" t="s">
        <v>68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5</v>
      </c>
      <c r="N26" s="7">
        <v>0</v>
      </c>
      <c r="O26" s="7">
        <v>5</v>
      </c>
      <c r="P26" s="7">
        <v>5</v>
      </c>
      <c r="Q26" s="7">
        <v>10</v>
      </c>
      <c r="R26" s="7">
        <v>7.5</v>
      </c>
      <c r="S26" s="7">
        <v>0</v>
      </c>
      <c r="T26" s="7">
        <v>0</v>
      </c>
      <c r="U26" s="10">
        <v>32.5</v>
      </c>
      <c r="V26" s="7">
        <v>5</v>
      </c>
      <c r="W26" s="7">
        <v>0</v>
      </c>
      <c r="X26" s="7">
        <v>5</v>
      </c>
      <c r="Y26" s="7">
        <v>2.5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10">
        <v>12.5</v>
      </c>
      <c r="AF26" s="7">
        <v>5</v>
      </c>
      <c r="AG26" s="7">
        <v>0</v>
      </c>
      <c r="AH26" s="7">
        <v>5</v>
      </c>
      <c r="AI26" s="7">
        <v>0</v>
      </c>
      <c r="AJ26" s="7">
        <v>0</v>
      </c>
      <c r="AK26" s="7">
        <v>0</v>
      </c>
      <c r="AL26" s="7">
        <v>0</v>
      </c>
      <c r="AM26" s="10">
        <v>10</v>
      </c>
      <c r="AN26" s="10"/>
      <c r="AO26">
        <f t="shared" ref="AO26:BE26" si="27">SUM(D26:D27)</f>
        <v>10</v>
      </c>
      <c r="AP26">
        <f t="shared" si="27"/>
        <v>12.5</v>
      </c>
      <c r="AQ26">
        <f t="shared" si="27"/>
        <v>2.5</v>
      </c>
      <c r="AR26">
        <f t="shared" si="27"/>
        <v>2.5</v>
      </c>
      <c r="AS26">
        <f t="shared" si="27"/>
        <v>2.5</v>
      </c>
      <c r="AT26">
        <f t="shared" si="27"/>
        <v>0</v>
      </c>
      <c r="AU26">
        <f t="shared" si="27"/>
        <v>7.5</v>
      </c>
      <c r="AV26">
        <f t="shared" si="27"/>
        <v>2.5</v>
      </c>
      <c r="AW26">
        <f t="shared" si="27"/>
        <v>9.8000000000000007</v>
      </c>
      <c r="AX26">
        <f t="shared" si="27"/>
        <v>12.5</v>
      </c>
      <c r="AY26">
        <f t="shared" si="27"/>
        <v>5</v>
      </c>
      <c r="AZ26">
        <f t="shared" si="27"/>
        <v>5</v>
      </c>
      <c r="BA26">
        <f t="shared" si="27"/>
        <v>5</v>
      </c>
      <c r="BB26">
        <f t="shared" si="27"/>
        <v>10</v>
      </c>
      <c r="BC26">
        <f t="shared" si="27"/>
        <v>7.5</v>
      </c>
      <c r="BD26">
        <f t="shared" si="27"/>
        <v>5</v>
      </c>
      <c r="BE26">
        <f t="shared" si="27"/>
        <v>5</v>
      </c>
      <c r="BF26">
        <f t="shared" ref="BF26:BN26" si="28">SUM(V26:V27)</f>
        <v>10</v>
      </c>
      <c r="BG26">
        <f t="shared" si="28"/>
        <v>5</v>
      </c>
      <c r="BH26">
        <f t="shared" si="28"/>
        <v>5</v>
      </c>
      <c r="BI26">
        <f t="shared" si="28"/>
        <v>5</v>
      </c>
      <c r="BJ26">
        <f t="shared" si="28"/>
        <v>5</v>
      </c>
      <c r="BK26">
        <f t="shared" si="28"/>
        <v>0</v>
      </c>
      <c r="BL26">
        <f t="shared" si="28"/>
        <v>2.5</v>
      </c>
      <c r="BM26">
        <f t="shared" si="28"/>
        <v>2.5</v>
      </c>
      <c r="BN26">
        <f t="shared" si="28"/>
        <v>2.5</v>
      </c>
      <c r="BO26">
        <f t="shared" ref="BO26:BU26" si="29">SUM(AF26:AF27)</f>
        <v>10</v>
      </c>
      <c r="BP26">
        <f t="shared" si="29"/>
        <v>2.5</v>
      </c>
      <c r="BQ26">
        <f t="shared" si="29"/>
        <v>10</v>
      </c>
      <c r="BR26">
        <f t="shared" si="29"/>
        <v>5</v>
      </c>
      <c r="BS26">
        <f t="shared" si="29"/>
        <v>5</v>
      </c>
      <c r="BT26">
        <f t="shared" si="29"/>
        <v>2.5</v>
      </c>
      <c r="BU26">
        <f t="shared" si="29"/>
        <v>2.5</v>
      </c>
    </row>
    <row r="27" spans="2:73">
      <c r="B27" s="110"/>
      <c r="C27" s="9" t="s">
        <v>69</v>
      </c>
      <c r="D27" s="7">
        <v>10</v>
      </c>
      <c r="E27" s="7">
        <v>12.5</v>
      </c>
      <c r="F27" s="7">
        <v>2.5</v>
      </c>
      <c r="G27" s="7">
        <v>2.5</v>
      </c>
      <c r="H27" s="7">
        <v>2.5</v>
      </c>
      <c r="I27" s="7">
        <v>0</v>
      </c>
      <c r="J27" s="7">
        <v>7.5</v>
      </c>
      <c r="K27" s="7">
        <v>2.5</v>
      </c>
      <c r="L27" s="7">
        <v>9.8000000000000007</v>
      </c>
      <c r="M27" s="7">
        <v>7.5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5</v>
      </c>
      <c r="T27" s="7">
        <v>5</v>
      </c>
      <c r="U27" s="10">
        <v>72.3</v>
      </c>
      <c r="V27" s="7">
        <v>5</v>
      </c>
      <c r="W27" s="7">
        <v>5</v>
      </c>
      <c r="X27" s="7">
        <v>0</v>
      </c>
      <c r="Y27" s="7">
        <v>2.5</v>
      </c>
      <c r="Z27" s="7">
        <v>5</v>
      </c>
      <c r="AA27" s="7">
        <v>0</v>
      </c>
      <c r="AB27" s="7">
        <v>2.5</v>
      </c>
      <c r="AC27" s="7">
        <v>2.5</v>
      </c>
      <c r="AD27" s="7">
        <v>2.5</v>
      </c>
      <c r="AE27" s="10">
        <v>25</v>
      </c>
      <c r="AF27" s="7">
        <v>5</v>
      </c>
      <c r="AG27" s="7">
        <v>2.5</v>
      </c>
      <c r="AH27" s="7">
        <v>5</v>
      </c>
      <c r="AI27" s="7">
        <v>5</v>
      </c>
      <c r="AJ27" s="7">
        <v>5</v>
      </c>
      <c r="AK27" s="7">
        <v>2.5</v>
      </c>
      <c r="AL27" s="7">
        <v>2.5</v>
      </c>
      <c r="AM27" s="10">
        <v>27.5</v>
      </c>
      <c r="AN27" s="10"/>
    </row>
    <row r="28" spans="2:73">
      <c r="B28" s="109" t="s">
        <v>78</v>
      </c>
      <c r="C28" s="9" t="s">
        <v>68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5</v>
      </c>
      <c r="N28" s="7">
        <v>0</v>
      </c>
      <c r="O28" s="7">
        <v>5</v>
      </c>
      <c r="P28" s="7">
        <v>5</v>
      </c>
      <c r="Q28" s="7">
        <v>10</v>
      </c>
      <c r="R28" s="7">
        <v>10</v>
      </c>
      <c r="S28" s="7">
        <v>0</v>
      </c>
      <c r="T28" s="7">
        <v>0</v>
      </c>
      <c r="U28" s="10">
        <v>35</v>
      </c>
      <c r="V28" s="7">
        <v>5</v>
      </c>
      <c r="W28" s="7">
        <v>0</v>
      </c>
      <c r="X28" s="7">
        <v>2.5</v>
      </c>
      <c r="Y28" s="7">
        <v>2.5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10">
        <v>10</v>
      </c>
      <c r="AF28" s="7">
        <v>5</v>
      </c>
      <c r="AG28" s="7">
        <v>0</v>
      </c>
      <c r="AH28" s="7">
        <v>5</v>
      </c>
      <c r="AI28" s="7">
        <v>0</v>
      </c>
      <c r="AJ28" s="7">
        <v>0</v>
      </c>
      <c r="AK28" s="7">
        <v>0</v>
      </c>
      <c r="AL28" s="7">
        <v>0</v>
      </c>
      <c r="AM28" s="10">
        <v>10</v>
      </c>
      <c r="AN28" s="10"/>
      <c r="AO28">
        <f t="shared" ref="AO28:BE28" si="30">SUM(D28:D29)</f>
        <v>10</v>
      </c>
      <c r="AP28">
        <f t="shared" si="30"/>
        <v>12.5</v>
      </c>
      <c r="AQ28">
        <f t="shared" si="30"/>
        <v>2.5</v>
      </c>
      <c r="AR28">
        <f t="shared" si="30"/>
        <v>2.5</v>
      </c>
      <c r="AS28">
        <f t="shared" si="30"/>
        <v>2.5</v>
      </c>
      <c r="AT28">
        <f t="shared" si="30"/>
        <v>2.5</v>
      </c>
      <c r="AU28">
        <f t="shared" si="30"/>
        <v>7.5</v>
      </c>
      <c r="AV28">
        <f t="shared" si="30"/>
        <v>2.5</v>
      </c>
      <c r="AW28">
        <f t="shared" si="30"/>
        <v>9.8000000000000007</v>
      </c>
      <c r="AX28">
        <f t="shared" si="30"/>
        <v>12.5</v>
      </c>
      <c r="AY28">
        <f t="shared" si="30"/>
        <v>5</v>
      </c>
      <c r="AZ28">
        <f t="shared" si="30"/>
        <v>5</v>
      </c>
      <c r="BA28">
        <f t="shared" si="30"/>
        <v>5</v>
      </c>
      <c r="BB28">
        <f t="shared" si="30"/>
        <v>10</v>
      </c>
      <c r="BC28">
        <f t="shared" si="30"/>
        <v>10</v>
      </c>
      <c r="BD28">
        <f t="shared" si="30"/>
        <v>5</v>
      </c>
      <c r="BE28">
        <f t="shared" si="30"/>
        <v>5</v>
      </c>
      <c r="BF28">
        <f t="shared" ref="BF28:BN28" si="31">SUM(V28:V29)</f>
        <v>10</v>
      </c>
      <c r="BG28">
        <f t="shared" si="31"/>
        <v>5</v>
      </c>
      <c r="BH28">
        <f t="shared" si="31"/>
        <v>2.5</v>
      </c>
      <c r="BI28">
        <f t="shared" si="31"/>
        <v>5</v>
      </c>
      <c r="BJ28">
        <f t="shared" si="31"/>
        <v>5</v>
      </c>
      <c r="BK28">
        <f t="shared" si="31"/>
        <v>2.5</v>
      </c>
      <c r="BL28">
        <f t="shared" si="31"/>
        <v>2.5</v>
      </c>
      <c r="BM28">
        <f t="shared" si="31"/>
        <v>2.5</v>
      </c>
      <c r="BN28">
        <f t="shared" si="31"/>
        <v>2.5</v>
      </c>
      <c r="BO28">
        <f t="shared" ref="BO28:BU28" si="32">SUM(AF28:AF29)</f>
        <v>10</v>
      </c>
      <c r="BP28">
        <f t="shared" si="32"/>
        <v>5</v>
      </c>
      <c r="BQ28">
        <f t="shared" si="32"/>
        <v>10</v>
      </c>
      <c r="BR28">
        <f t="shared" si="32"/>
        <v>5</v>
      </c>
      <c r="BS28">
        <f t="shared" si="32"/>
        <v>5</v>
      </c>
      <c r="BT28">
        <f t="shared" si="32"/>
        <v>2.5</v>
      </c>
      <c r="BU28">
        <f t="shared" si="32"/>
        <v>2.5</v>
      </c>
    </row>
    <row r="29" spans="2:73">
      <c r="B29" s="110"/>
      <c r="C29" s="9" t="s">
        <v>69</v>
      </c>
      <c r="D29" s="7">
        <v>10</v>
      </c>
      <c r="E29" s="7">
        <v>12.5</v>
      </c>
      <c r="F29" s="7">
        <v>2.5</v>
      </c>
      <c r="G29" s="7">
        <v>2.5</v>
      </c>
      <c r="H29" s="7">
        <v>2.5</v>
      </c>
      <c r="I29" s="7">
        <v>2.5</v>
      </c>
      <c r="J29" s="7">
        <v>7.5</v>
      </c>
      <c r="K29" s="7">
        <v>2.5</v>
      </c>
      <c r="L29" s="7">
        <v>9.8000000000000007</v>
      </c>
      <c r="M29" s="7">
        <v>7.5</v>
      </c>
      <c r="N29" s="7">
        <v>5</v>
      </c>
      <c r="O29" s="7">
        <v>0</v>
      </c>
      <c r="P29" s="7">
        <v>0</v>
      </c>
      <c r="Q29" s="7">
        <v>0</v>
      </c>
      <c r="R29" s="7">
        <v>0</v>
      </c>
      <c r="S29" s="7">
        <v>5</v>
      </c>
      <c r="T29" s="7">
        <v>5</v>
      </c>
      <c r="U29" s="10">
        <v>74.8</v>
      </c>
      <c r="V29" s="7">
        <v>5</v>
      </c>
      <c r="W29" s="7">
        <v>5</v>
      </c>
      <c r="X29" s="7">
        <v>0</v>
      </c>
      <c r="Y29" s="7">
        <v>2.5</v>
      </c>
      <c r="Z29" s="7">
        <v>5</v>
      </c>
      <c r="AA29" s="7">
        <v>2.5</v>
      </c>
      <c r="AB29" s="7">
        <v>2.5</v>
      </c>
      <c r="AC29" s="7">
        <v>2.5</v>
      </c>
      <c r="AD29" s="7">
        <v>2.5</v>
      </c>
      <c r="AE29" s="10">
        <v>27.5</v>
      </c>
      <c r="AF29" s="7">
        <v>5</v>
      </c>
      <c r="AG29" s="7">
        <v>5</v>
      </c>
      <c r="AH29" s="7">
        <v>5</v>
      </c>
      <c r="AI29" s="7">
        <v>5</v>
      </c>
      <c r="AJ29" s="7">
        <v>5</v>
      </c>
      <c r="AK29" s="7">
        <v>2.5</v>
      </c>
      <c r="AL29" s="7">
        <v>2.5</v>
      </c>
      <c r="AM29" s="10">
        <v>30</v>
      </c>
      <c r="AN29" s="10"/>
    </row>
    <row r="30" spans="2:73">
      <c r="B30" s="109" t="s">
        <v>79</v>
      </c>
      <c r="C30" s="9" t="s">
        <v>68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5</v>
      </c>
      <c r="N30" s="7">
        <v>0</v>
      </c>
      <c r="O30" s="7">
        <v>5</v>
      </c>
      <c r="P30" s="7">
        <v>5</v>
      </c>
      <c r="Q30" s="7">
        <v>10</v>
      </c>
      <c r="R30" s="7">
        <v>10</v>
      </c>
      <c r="S30" s="7">
        <v>0</v>
      </c>
      <c r="T30" s="7">
        <v>0</v>
      </c>
      <c r="U30" s="10">
        <v>35</v>
      </c>
      <c r="V30" s="7">
        <v>5</v>
      </c>
      <c r="W30" s="7">
        <v>0</v>
      </c>
      <c r="X30" s="7">
        <v>5</v>
      </c>
      <c r="Y30" s="7">
        <v>2.5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10">
        <v>12.5</v>
      </c>
      <c r="AF30" s="7">
        <v>5</v>
      </c>
      <c r="AG30" s="7">
        <v>0</v>
      </c>
      <c r="AH30" s="7">
        <v>5</v>
      </c>
      <c r="AI30" s="7">
        <v>0</v>
      </c>
      <c r="AJ30" s="7">
        <v>0</v>
      </c>
      <c r="AK30" s="7">
        <v>0</v>
      </c>
      <c r="AL30" s="7">
        <v>0</v>
      </c>
      <c r="AM30" s="10">
        <v>10</v>
      </c>
      <c r="AN30" s="10"/>
      <c r="AO30">
        <f t="shared" ref="AO30:BE30" si="33">SUM(D30:D31)</f>
        <v>10</v>
      </c>
      <c r="AP30">
        <f t="shared" si="33"/>
        <v>12.5</v>
      </c>
      <c r="AQ30">
        <f t="shared" si="33"/>
        <v>2.5</v>
      </c>
      <c r="AR30">
        <f t="shared" si="33"/>
        <v>0</v>
      </c>
      <c r="AS30">
        <f t="shared" si="33"/>
        <v>2.5</v>
      </c>
      <c r="AT30">
        <f t="shared" si="33"/>
        <v>2.5</v>
      </c>
      <c r="AU30">
        <f t="shared" si="33"/>
        <v>7.5</v>
      </c>
      <c r="AV30">
        <f t="shared" si="33"/>
        <v>2.5</v>
      </c>
      <c r="AW30">
        <f t="shared" si="33"/>
        <v>9.8000000000000007</v>
      </c>
      <c r="AX30">
        <f t="shared" si="33"/>
        <v>15</v>
      </c>
      <c r="AY30">
        <f t="shared" si="33"/>
        <v>5</v>
      </c>
      <c r="AZ30">
        <f t="shared" si="33"/>
        <v>5</v>
      </c>
      <c r="BA30">
        <f t="shared" si="33"/>
        <v>5</v>
      </c>
      <c r="BB30">
        <f t="shared" si="33"/>
        <v>10</v>
      </c>
      <c r="BC30">
        <f t="shared" si="33"/>
        <v>10</v>
      </c>
      <c r="BD30">
        <f t="shared" si="33"/>
        <v>5</v>
      </c>
      <c r="BE30">
        <f t="shared" si="33"/>
        <v>2.5</v>
      </c>
      <c r="BF30">
        <f t="shared" ref="BF30:BN30" si="34">SUM(V30:V31)</f>
        <v>10</v>
      </c>
      <c r="BG30">
        <f t="shared" si="34"/>
        <v>5</v>
      </c>
      <c r="BH30">
        <f t="shared" si="34"/>
        <v>5</v>
      </c>
      <c r="BI30">
        <f t="shared" si="34"/>
        <v>5</v>
      </c>
      <c r="BJ30">
        <f t="shared" si="34"/>
        <v>5</v>
      </c>
      <c r="BK30">
        <f t="shared" si="34"/>
        <v>2.5</v>
      </c>
      <c r="BL30">
        <f t="shared" si="34"/>
        <v>2.5</v>
      </c>
      <c r="BM30">
        <f t="shared" si="34"/>
        <v>2.5</v>
      </c>
      <c r="BN30">
        <f t="shared" si="34"/>
        <v>2.5</v>
      </c>
      <c r="BO30">
        <f t="shared" ref="BO30:BU30" si="35">SUM(AF30:AF31)</f>
        <v>10</v>
      </c>
      <c r="BP30">
        <f t="shared" si="35"/>
        <v>2.5</v>
      </c>
      <c r="BQ30">
        <f t="shared" si="35"/>
        <v>10</v>
      </c>
      <c r="BR30">
        <f t="shared" si="35"/>
        <v>2.5</v>
      </c>
      <c r="BS30">
        <f t="shared" si="35"/>
        <v>5</v>
      </c>
      <c r="BT30">
        <f t="shared" si="35"/>
        <v>2.5</v>
      </c>
      <c r="BU30">
        <f t="shared" si="35"/>
        <v>2.5</v>
      </c>
    </row>
    <row r="31" spans="2:73">
      <c r="B31" s="110"/>
      <c r="C31" s="9" t="s">
        <v>69</v>
      </c>
      <c r="D31" s="7">
        <v>10</v>
      </c>
      <c r="E31" s="7">
        <v>12.5</v>
      </c>
      <c r="F31" s="7">
        <v>2.5</v>
      </c>
      <c r="G31" s="7">
        <v>0</v>
      </c>
      <c r="H31" s="7">
        <v>2.5</v>
      </c>
      <c r="I31" s="7">
        <v>2.5</v>
      </c>
      <c r="J31" s="7">
        <v>7.5</v>
      </c>
      <c r="K31" s="7">
        <v>2.5</v>
      </c>
      <c r="L31" s="7">
        <v>9.8000000000000007</v>
      </c>
      <c r="M31" s="7">
        <v>10</v>
      </c>
      <c r="N31" s="7">
        <v>5</v>
      </c>
      <c r="O31" s="7">
        <v>0</v>
      </c>
      <c r="P31" s="7">
        <v>0</v>
      </c>
      <c r="Q31" s="7">
        <v>0</v>
      </c>
      <c r="R31" s="7">
        <v>0</v>
      </c>
      <c r="S31" s="7">
        <v>5</v>
      </c>
      <c r="T31" s="7">
        <v>2.5</v>
      </c>
      <c r="U31" s="10">
        <v>72.3</v>
      </c>
      <c r="V31" s="7">
        <v>5</v>
      </c>
      <c r="W31" s="7">
        <v>5</v>
      </c>
      <c r="X31" s="7">
        <v>0</v>
      </c>
      <c r="Y31" s="7">
        <v>2.5</v>
      </c>
      <c r="Z31" s="7">
        <v>5</v>
      </c>
      <c r="AA31" s="7">
        <v>2.5</v>
      </c>
      <c r="AB31" s="7">
        <v>2.5</v>
      </c>
      <c r="AC31" s="7">
        <v>2.5</v>
      </c>
      <c r="AD31" s="7">
        <v>2.5</v>
      </c>
      <c r="AE31" s="10">
        <v>27.5</v>
      </c>
      <c r="AF31" s="7">
        <v>5</v>
      </c>
      <c r="AG31" s="7">
        <v>2.5</v>
      </c>
      <c r="AH31" s="7">
        <v>5</v>
      </c>
      <c r="AI31" s="7">
        <v>2.5</v>
      </c>
      <c r="AJ31" s="7">
        <v>5</v>
      </c>
      <c r="AK31" s="7">
        <v>2.5</v>
      </c>
      <c r="AL31" s="7">
        <v>2.5</v>
      </c>
      <c r="AM31" s="10">
        <v>25</v>
      </c>
      <c r="AN31" s="10"/>
    </row>
    <row r="32" spans="2:73">
      <c r="B32" s="109" t="s">
        <v>80</v>
      </c>
      <c r="C32" s="9" t="s">
        <v>68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5</v>
      </c>
      <c r="N32" s="7">
        <v>0</v>
      </c>
      <c r="O32" s="7">
        <v>5</v>
      </c>
      <c r="P32" s="7">
        <v>5</v>
      </c>
      <c r="Q32" s="7">
        <v>10</v>
      </c>
      <c r="R32" s="7">
        <v>10</v>
      </c>
      <c r="S32" s="7">
        <v>0</v>
      </c>
      <c r="T32" s="7">
        <v>0</v>
      </c>
      <c r="U32" s="10">
        <v>35</v>
      </c>
      <c r="V32" s="7">
        <v>2.5</v>
      </c>
      <c r="W32" s="7">
        <v>0</v>
      </c>
      <c r="X32" s="7">
        <v>5</v>
      </c>
      <c r="Y32" s="7">
        <v>2.5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10">
        <v>10</v>
      </c>
      <c r="AF32" s="7">
        <v>5</v>
      </c>
      <c r="AG32" s="7">
        <v>0</v>
      </c>
      <c r="AH32" s="7">
        <v>5</v>
      </c>
      <c r="AI32" s="7">
        <v>0</v>
      </c>
      <c r="AJ32" s="7">
        <v>0</v>
      </c>
      <c r="AK32" s="7">
        <v>0</v>
      </c>
      <c r="AL32" s="7">
        <v>0</v>
      </c>
      <c r="AM32" s="10">
        <v>10</v>
      </c>
      <c r="AN32" s="10"/>
      <c r="AO32">
        <f t="shared" ref="AO32:BE32" si="36">SUM(D32:D33)</f>
        <v>10</v>
      </c>
      <c r="AP32">
        <f t="shared" si="36"/>
        <v>12.5</v>
      </c>
      <c r="AQ32">
        <f t="shared" si="36"/>
        <v>5</v>
      </c>
      <c r="AR32">
        <f t="shared" si="36"/>
        <v>2.5</v>
      </c>
      <c r="AS32">
        <f t="shared" si="36"/>
        <v>2.5</v>
      </c>
      <c r="AT32">
        <f t="shared" si="36"/>
        <v>2.5</v>
      </c>
      <c r="AU32">
        <f t="shared" si="36"/>
        <v>7.5</v>
      </c>
      <c r="AV32">
        <f t="shared" si="36"/>
        <v>0</v>
      </c>
      <c r="AW32">
        <f t="shared" si="36"/>
        <v>9.6</v>
      </c>
      <c r="AX32">
        <f t="shared" si="36"/>
        <v>12.5</v>
      </c>
      <c r="AY32">
        <f t="shared" si="36"/>
        <v>5</v>
      </c>
      <c r="AZ32">
        <f t="shared" si="36"/>
        <v>5</v>
      </c>
      <c r="BA32">
        <f t="shared" si="36"/>
        <v>5</v>
      </c>
      <c r="BB32">
        <f t="shared" si="36"/>
        <v>10</v>
      </c>
      <c r="BC32">
        <f t="shared" si="36"/>
        <v>10</v>
      </c>
      <c r="BD32">
        <f t="shared" si="36"/>
        <v>5</v>
      </c>
      <c r="BE32">
        <f t="shared" si="36"/>
        <v>5</v>
      </c>
      <c r="BF32">
        <f t="shared" ref="BF32:BN32" si="37">SUM(V32:V33)</f>
        <v>5</v>
      </c>
      <c r="BG32">
        <f t="shared" si="37"/>
        <v>5</v>
      </c>
      <c r="BH32">
        <f t="shared" si="37"/>
        <v>5</v>
      </c>
      <c r="BI32">
        <f t="shared" si="37"/>
        <v>5</v>
      </c>
      <c r="BJ32">
        <f t="shared" si="37"/>
        <v>5</v>
      </c>
      <c r="BK32">
        <f t="shared" si="37"/>
        <v>2.5</v>
      </c>
      <c r="BL32">
        <f t="shared" si="37"/>
        <v>0</v>
      </c>
      <c r="BM32">
        <f t="shared" si="37"/>
        <v>0</v>
      </c>
      <c r="BN32">
        <f t="shared" si="37"/>
        <v>2.5</v>
      </c>
      <c r="BO32">
        <f t="shared" ref="BO32:BU32" si="38">SUM(AF32:AF33)</f>
        <v>10</v>
      </c>
      <c r="BP32">
        <f t="shared" si="38"/>
        <v>5</v>
      </c>
      <c r="BQ32">
        <f t="shared" si="38"/>
        <v>10</v>
      </c>
      <c r="BR32">
        <f t="shared" si="38"/>
        <v>5</v>
      </c>
      <c r="BS32">
        <f t="shared" si="38"/>
        <v>5</v>
      </c>
      <c r="BT32">
        <f t="shared" si="38"/>
        <v>0</v>
      </c>
      <c r="BU32">
        <f t="shared" si="38"/>
        <v>2.5</v>
      </c>
    </row>
    <row r="33" spans="2:73">
      <c r="B33" s="110"/>
      <c r="C33" s="9" t="s">
        <v>69</v>
      </c>
      <c r="D33" s="7">
        <v>10</v>
      </c>
      <c r="E33" s="7">
        <v>12.5</v>
      </c>
      <c r="F33" s="7">
        <v>5</v>
      </c>
      <c r="G33" s="7">
        <v>2.5</v>
      </c>
      <c r="H33" s="7">
        <v>2.5</v>
      </c>
      <c r="I33" s="7">
        <v>2.5</v>
      </c>
      <c r="J33" s="7">
        <v>7.5</v>
      </c>
      <c r="K33" s="7">
        <v>0</v>
      </c>
      <c r="L33" s="7">
        <v>9.6</v>
      </c>
      <c r="M33" s="7">
        <v>7.5</v>
      </c>
      <c r="N33" s="7">
        <v>5</v>
      </c>
      <c r="O33" s="7">
        <v>0</v>
      </c>
      <c r="P33" s="7">
        <v>0</v>
      </c>
      <c r="Q33" s="7">
        <v>0</v>
      </c>
      <c r="R33" s="7">
        <v>0</v>
      </c>
      <c r="S33" s="7">
        <v>5</v>
      </c>
      <c r="T33" s="7">
        <v>5</v>
      </c>
      <c r="U33" s="10">
        <v>74.599999999999994</v>
      </c>
      <c r="V33" s="7">
        <v>2.5</v>
      </c>
      <c r="W33" s="7">
        <v>5</v>
      </c>
      <c r="X33" s="7">
        <v>0</v>
      </c>
      <c r="Y33" s="7">
        <v>2.5</v>
      </c>
      <c r="Z33" s="7">
        <v>5</v>
      </c>
      <c r="AA33" s="7">
        <v>2.5</v>
      </c>
      <c r="AB33" s="7">
        <v>0</v>
      </c>
      <c r="AC33" s="7">
        <v>0</v>
      </c>
      <c r="AD33" s="7">
        <v>2.5</v>
      </c>
      <c r="AE33" s="10">
        <v>20</v>
      </c>
      <c r="AF33" s="7">
        <v>5</v>
      </c>
      <c r="AG33" s="7">
        <v>5</v>
      </c>
      <c r="AH33" s="7">
        <v>5</v>
      </c>
      <c r="AI33" s="7">
        <v>5</v>
      </c>
      <c r="AJ33" s="7">
        <v>5</v>
      </c>
      <c r="AK33" s="7">
        <v>0</v>
      </c>
      <c r="AL33" s="7">
        <v>2.5</v>
      </c>
      <c r="AM33" s="10">
        <v>27.5</v>
      </c>
      <c r="AN33" s="10"/>
    </row>
    <row r="34" spans="2:73">
      <c r="B34" s="109" t="s">
        <v>81</v>
      </c>
      <c r="C34" s="9" t="s">
        <v>68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5</v>
      </c>
      <c r="N34" s="7">
        <v>0</v>
      </c>
      <c r="O34" s="7">
        <v>5</v>
      </c>
      <c r="P34" s="7">
        <v>5</v>
      </c>
      <c r="Q34" s="7">
        <v>10</v>
      </c>
      <c r="R34" s="7">
        <v>7.5</v>
      </c>
      <c r="S34" s="7">
        <v>0</v>
      </c>
      <c r="T34" s="7">
        <v>0</v>
      </c>
      <c r="U34" s="10">
        <v>32.5</v>
      </c>
      <c r="V34" s="7">
        <v>5</v>
      </c>
      <c r="W34" s="7">
        <v>0</v>
      </c>
      <c r="X34" s="7">
        <v>2.5</v>
      </c>
      <c r="Y34" s="7">
        <v>2.5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10">
        <v>10</v>
      </c>
      <c r="AF34" s="7">
        <v>5</v>
      </c>
      <c r="AG34" s="7">
        <v>0</v>
      </c>
      <c r="AH34" s="7">
        <v>5</v>
      </c>
      <c r="AI34" s="7">
        <v>0</v>
      </c>
      <c r="AJ34" s="7">
        <v>0</v>
      </c>
      <c r="AK34" s="7">
        <v>0</v>
      </c>
      <c r="AL34" s="7">
        <v>0</v>
      </c>
      <c r="AM34" s="10">
        <v>10</v>
      </c>
      <c r="AN34" s="10"/>
      <c r="AO34">
        <f t="shared" ref="AO34:BE34" si="39">SUM(D34:D35)</f>
        <v>12.5</v>
      </c>
      <c r="AP34">
        <f t="shared" si="39"/>
        <v>12.5</v>
      </c>
      <c r="AQ34">
        <f t="shared" si="39"/>
        <v>5</v>
      </c>
      <c r="AR34">
        <f t="shared" si="39"/>
        <v>2.5</v>
      </c>
      <c r="AS34">
        <f t="shared" si="39"/>
        <v>2.5</v>
      </c>
      <c r="AT34">
        <f t="shared" si="39"/>
        <v>2.5</v>
      </c>
      <c r="AU34">
        <f t="shared" si="39"/>
        <v>7.5</v>
      </c>
      <c r="AV34">
        <f t="shared" si="39"/>
        <v>2.5</v>
      </c>
      <c r="AW34">
        <f t="shared" si="39"/>
        <v>9.8000000000000007</v>
      </c>
      <c r="AX34">
        <f t="shared" si="39"/>
        <v>12.5</v>
      </c>
      <c r="AY34">
        <f t="shared" si="39"/>
        <v>2.5</v>
      </c>
      <c r="AZ34">
        <f t="shared" si="39"/>
        <v>5</v>
      </c>
      <c r="BA34">
        <f t="shared" si="39"/>
        <v>5</v>
      </c>
      <c r="BB34">
        <f t="shared" si="39"/>
        <v>10</v>
      </c>
      <c r="BC34">
        <f t="shared" si="39"/>
        <v>7.5</v>
      </c>
      <c r="BD34">
        <f t="shared" si="39"/>
        <v>5</v>
      </c>
      <c r="BE34">
        <f t="shared" si="39"/>
        <v>5</v>
      </c>
      <c r="BF34">
        <f t="shared" ref="BF34:BN34" si="40">SUM(V34:V35)</f>
        <v>10</v>
      </c>
      <c r="BG34">
        <f t="shared" si="40"/>
        <v>5</v>
      </c>
      <c r="BH34">
        <f t="shared" si="40"/>
        <v>2.5</v>
      </c>
      <c r="BI34">
        <f t="shared" si="40"/>
        <v>5</v>
      </c>
      <c r="BJ34">
        <f t="shared" si="40"/>
        <v>5</v>
      </c>
      <c r="BK34">
        <f t="shared" si="40"/>
        <v>2.5</v>
      </c>
      <c r="BL34">
        <f t="shared" si="40"/>
        <v>2.5</v>
      </c>
      <c r="BM34">
        <f t="shared" si="40"/>
        <v>2.5</v>
      </c>
      <c r="BN34">
        <f t="shared" si="40"/>
        <v>2.5</v>
      </c>
      <c r="BO34">
        <f t="shared" ref="BO34:BU34" si="41">SUM(AF34:AF35)</f>
        <v>10</v>
      </c>
      <c r="BP34">
        <f t="shared" si="41"/>
        <v>5</v>
      </c>
      <c r="BQ34">
        <f t="shared" si="41"/>
        <v>10</v>
      </c>
      <c r="BR34">
        <f t="shared" si="41"/>
        <v>5</v>
      </c>
      <c r="BS34">
        <f t="shared" si="41"/>
        <v>5</v>
      </c>
      <c r="BT34">
        <f t="shared" si="41"/>
        <v>2.5</v>
      </c>
      <c r="BU34">
        <f t="shared" si="41"/>
        <v>2.5</v>
      </c>
    </row>
    <row r="35" spans="2:73">
      <c r="B35" s="110"/>
      <c r="C35" s="9" t="s">
        <v>69</v>
      </c>
      <c r="D35" s="7">
        <v>12.5</v>
      </c>
      <c r="E35" s="7">
        <v>12.5</v>
      </c>
      <c r="F35" s="7">
        <v>5</v>
      </c>
      <c r="G35" s="7">
        <v>2.5</v>
      </c>
      <c r="H35" s="7">
        <v>2.5</v>
      </c>
      <c r="I35" s="7">
        <v>2.5</v>
      </c>
      <c r="J35" s="7">
        <v>7.5</v>
      </c>
      <c r="K35" s="7">
        <v>2.5</v>
      </c>
      <c r="L35" s="7">
        <v>9.8000000000000007</v>
      </c>
      <c r="M35" s="7">
        <v>7.5</v>
      </c>
      <c r="N35" s="7">
        <v>2.5</v>
      </c>
      <c r="O35" s="7">
        <v>0</v>
      </c>
      <c r="P35" s="7">
        <v>0</v>
      </c>
      <c r="Q35" s="7">
        <v>0</v>
      </c>
      <c r="R35" s="7">
        <v>0</v>
      </c>
      <c r="S35" s="7">
        <v>5</v>
      </c>
      <c r="T35" s="7">
        <v>5</v>
      </c>
      <c r="U35" s="10">
        <v>77.3</v>
      </c>
      <c r="V35" s="7">
        <v>5</v>
      </c>
      <c r="W35" s="7">
        <v>5</v>
      </c>
      <c r="X35" s="7">
        <v>0</v>
      </c>
      <c r="Y35" s="7">
        <v>2.5</v>
      </c>
      <c r="Z35" s="7">
        <v>5</v>
      </c>
      <c r="AA35" s="7">
        <v>2.5</v>
      </c>
      <c r="AB35" s="7">
        <v>2.5</v>
      </c>
      <c r="AC35" s="7">
        <v>2.5</v>
      </c>
      <c r="AD35" s="7">
        <v>2.5</v>
      </c>
      <c r="AE35" s="10">
        <v>27.5</v>
      </c>
      <c r="AF35" s="7">
        <v>5</v>
      </c>
      <c r="AG35" s="7">
        <v>5</v>
      </c>
      <c r="AH35" s="7">
        <v>5</v>
      </c>
      <c r="AI35" s="7">
        <v>5</v>
      </c>
      <c r="AJ35" s="7">
        <v>5</v>
      </c>
      <c r="AK35" s="7">
        <v>2.5</v>
      </c>
      <c r="AL35" s="7">
        <v>2.5</v>
      </c>
      <c r="AM35" s="10">
        <v>30</v>
      </c>
      <c r="AN35" s="10"/>
    </row>
    <row r="36" spans="2:73">
      <c r="B36" s="109" t="s">
        <v>82</v>
      </c>
      <c r="C36" s="9" t="s">
        <v>68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2.5</v>
      </c>
      <c r="N36" s="7">
        <v>0</v>
      </c>
      <c r="O36" s="7">
        <v>5</v>
      </c>
      <c r="P36" s="7">
        <v>5</v>
      </c>
      <c r="Q36" s="7">
        <v>10</v>
      </c>
      <c r="R36" s="7">
        <v>10</v>
      </c>
      <c r="S36" s="7">
        <v>0</v>
      </c>
      <c r="T36" s="7">
        <v>0</v>
      </c>
      <c r="U36" s="10">
        <v>32.5</v>
      </c>
      <c r="V36" s="7">
        <v>5</v>
      </c>
      <c r="W36" s="7">
        <v>0</v>
      </c>
      <c r="X36" s="7">
        <v>5</v>
      </c>
      <c r="Y36" s="7">
        <v>2.5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10">
        <v>12.5</v>
      </c>
      <c r="AF36" s="7">
        <v>5</v>
      </c>
      <c r="AG36" s="7">
        <v>0</v>
      </c>
      <c r="AH36" s="7">
        <v>5</v>
      </c>
      <c r="AI36" s="7">
        <v>0</v>
      </c>
      <c r="AJ36" s="7">
        <v>0</v>
      </c>
      <c r="AK36" s="7">
        <v>0</v>
      </c>
      <c r="AL36" s="7">
        <v>0</v>
      </c>
      <c r="AM36" s="10">
        <v>10</v>
      </c>
      <c r="AN36" s="10"/>
      <c r="AO36">
        <f t="shared" ref="AO36:BE36" si="42">SUM(D36:D37)</f>
        <v>10</v>
      </c>
      <c r="AP36">
        <f t="shared" si="42"/>
        <v>12.5</v>
      </c>
      <c r="AQ36">
        <f t="shared" si="42"/>
        <v>2.5</v>
      </c>
      <c r="AR36">
        <f t="shared" si="42"/>
        <v>0</v>
      </c>
      <c r="AS36">
        <f t="shared" si="42"/>
        <v>2.5</v>
      </c>
      <c r="AT36">
        <f t="shared" si="42"/>
        <v>0</v>
      </c>
      <c r="AU36">
        <f t="shared" si="42"/>
        <v>7.5</v>
      </c>
      <c r="AV36">
        <f t="shared" si="42"/>
        <v>2.5</v>
      </c>
      <c r="AW36">
        <f t="shared" si="42"/>
        <v>9.9</v>
      </c>
      <c r="AX36">
        <f t="shared" si="42"/>
        <v>12.5</v>
      </c>
      <c r="AY36">
        <f t="shared" si="42"/>
        <v>5</v>
      </c>
      <c r="AZ36">
        <f t="shared" si="42"/>
        <v>5</v>
      </c>
      <c r="BA36">
        <f t="shared" si="42"/>
        <v>5</v>
      </c>
      <c r="BB36">
        <f t="shared" si="42"/>
        <v>10</v>
      </c>
      <c r="BC36">
        <f t="shared" si="42"/>
        <v>10</v>
      </c>
      <c r="BD36">
        <f t="shared" si="42"/>
        <v>5</v>
      </c>
      <c r="BE36">
        <f t="shared" si="42"/>
        <v>5</v>
      </c>
      <c r="BF36">
        <f t="shared" ref="BF36:BN36" si="43">SUM(V36:V37)</f>
        <v>10</v>
      </c>
      <c r="BG36">
        <f t="shared" si="43"/>
        <v>5</v>
      </c>
      <c r="BH36">
        <f t="shared" si="43"/>
        <v>5</v>
      </c>
      <c r="BI36">
        <f t="shared" si="43"/>
        <v>5</v>
      </c>
      <c r="BJ36">
        <f t="shared" si="43"/>
        <v>5</v>
      </c>
      <c r="BK36">
        <f t="shared" si="43"/>
        <v>2.5</v>
      </c>
      <c r="BL36">
        <f t="shared" si="43"/>
        <v>2.5</v>
      </c>
      <c r="BM36">
        <f t="shared" si="43"/>
        <v>0</v>
      </c>
      <c r="BN36">
        <f t="shared" si="43"/>
        <v>2.5</v>
      </c>
      <c r="BO36">
        <f t="shared" ref="BO36:BU36" si="44">SUM(AF36:AF37)</f>
        <v>10</v>
      </c>
      <c r="BP36">
        <f t="shared" si="44"/>
        <v>2.5</v>
      </c>
      <c r="BQ36">
        <f t="shared" si="44"/>
        <v>10</v>
      </c>
      <c r="BR36">
        <f t="shared" si="44"/>
        <v>2.5</v>
      </c>
      <c r="BS36">
        <f t="shared" si="44"/>
        <v>5</v>
      </c>
      <c r="BT36">
        <f t="shared" si="44"/>
        <v>2.5</v>
      </c>
      <c r="BU36">
        <f t="shared" si="44"/>
        <v>0</v>
      </c>
    </row>
    <row r="37" spans="2:73">
      <c r="B37" s="110"/>
      <c r="C37" s="9" t="s">
        <v>69</v>
      </c>
      <c r="D37" s="7">
        <v>10</v>
      </c>
      <c r="E37" s="7">
        <v>12.5</v>
      </c>
      <c r="F37" s="7">
        <v>2.5</v>
      </c>
      <c r="G37" s="7">
        <v>0</v>
      </c>
      <c r="H37" s="7">
        <v>2.5</v>
      </c>
      <c r="I37" s="7">
        <v>0</v>
      </c>
      <c r="J37" s="7">
        <v>7.5</v>
      </c>
      <c r="K37" s="7">
        <v>2.5</v>
      </c>
      <c r="L37" s="7">
        <v>9.9</v>
      </c>
      <c r="M37" s="7">
        <v>10</v>
      </c>
      <c r="N37" s="7">
        <v>5</v>
      </c>
      <c r="O37" s="7">
        <v>0</v>
      </c>
      <c r="P37" s="7">
        <v>0</v>
      </c>
      <c r="Q37" s="7">
        <v>0</v>
      </c>
      <c r="R37" s="7">
        <v>0</v>
      </c>
      <c r="S37" s="7">
        <v>5</v>
      </c>
      <c r="T37" s="7">
        <v>5</v>
      </c>
      <c r="U37" s="10">
        <v>72.400000000000006</v>
      </c>
      <c r="V37" s="7">
        <v>5</v>
      </c>
      <c r="W37" s="7">
        <v>5</v>
      </c>
      <c r="X37" s="7">
        <v>0</v>
      </c>
      <c r="Y37" s="7">
        <v>2.5</v>
      </c>
      <c r="Z37" s="7">
        <v>5</v>
      </c>
      <c r="AA37" s="7">
        <v>2.5</v>
      </c>
      <c r="AB37" s="7">
        <v>2.5</v>
      </c>
      <c r="AC37" s="7">
        <v>0</v>
      </c>
      <c r="AD37" s="7">
        <v>2.5</v>
      </c>
      <c r="AE37" s="10">
        <v>25</v>
      </c>
      <c r="AF37" s="7">
        <v>5</v>
      </c>
      <c r="AG37" s="7">
        <v>2.5</v>
      </c>
      <c r="AH37" s="7">
        <v>5</v>
      </c>
      <c r="AI37" s="7">
        <v>2.5</v>
      </c>
      <c r="AJ37" s="7">
        <v>5</v>
      </c>
      <c r="AK37" s="7">
        <v>2.5</v>
      </c>
      <c r="AL37" s="7">
        <v>0</v>
      </c>
      <c r="AM37" s="10">
        <v>22.5</v>
      </c>
      <c r="AN37" s="10"/>
    </row>
    <row r="38" spans="2:73">
      <c r="B38" s="109" t="s">
        <v>83</v>
      </c>
      <c r="C38" s="9" t="s">
        <v>68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5</v>
      </c>
      <c r="N38" s="7">
        <v>0</v>
      </c>
      <c r="O38" s="7">
        <v>5</v>
      </c>
      <c r="P38" s="7">
        <v>5</v>
      </c>
      <c r="Q38" s="7">
        <v>10</v>
      </c>
      <c r="R38" s="7">
        <v>10</v>
      </c>
      <c r="S38" s="7">
        <v>0</v>
      </c>
      <c r="T38" s="7">
        <v>0</v>
      </c>
      <c r="U38" s="10">
        <v>35</v>
      </c>
      <c r="V38" s="7">
        <v>5</v>
      </c>
      <c r="W38" s="7">
        <v>0</v>
      </c>
      <c r="X38" s="7">
        <v>5</v>
      </c>
      <c r="Y38" s="7">
        <v>2.5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10">
        <v>12.5</v>
      </c>
      <c r="AF38" s="7">
        <v>5</v>
      </c>
      <c r="AG38" s="7">
        <v>0</v>
      </c>
      <c r="AH38" s="7">
        <v>5</v>
      </c>
      <c r="AI38" s="7">
        <v>0</v>
      </c>
      <c r="AJ38" s="7">
        <v>0</v>
      </c>
      <c r="AK38" s="7">
        <v>0</v>
      </c>
      <c r="AL38" s="7">
        <v>0</v>
      </c>
      <c r="AM38" s="10">
        <v>10</v>
      </c>
      <c r="AN38" s="10"/>
      <c r="AO38">
        <f t="shared" ref="AO38:BE38" si="45">SUM(D38:D39)</f>
        <v>12.5</v>
      </c>
      <c r="AP38">
        <f t="shared" si="45"/>
        <v>12.5</v>
      </c>
      <c r="AQ38">
        <f t="shared" si="45"/>
        <v>5</v>
      </c>
      <c r="AR38">
        <f t="shared" si="45"/>
        <v>2.5</v>
      </c>
      <c r="AS38">
        <f t="shared" si="45"/>
        <v>2.5</v>
      </c>
      <c r="AT38">
        <f t="shared" si="45"/>
        <v>0</v>
      </c>
      <c r="AU38">
        <f t="shared" si="45"/>
        <v>7.5</v>
      </c>
      <c r="AV38">
        <f t="shared" si="45"/>
        <v>0</v>
      </c>
      <c r="AW38">
        <f t="shared" si="45"/>
        <v>9.6999999999999993</v>
      </c>
      <c r="AX38">
        <f t="shared" si="45"/>
        <v>12.5</v>
      </c>
      <c r="AY38">
        <f t="shared" si="45"/>
        <v>5</v>
      </c>
      <c r="AZ38">
        <f t="shared" si="45"/>
        <v>5</v>
      </c>
      <c r="BA38">
        <f t="shared" si="45"/>
        <v>5</v>
      </c>
      <c r="BB38">
        <f t="shared" si="45"/>
        <v>10</v>
      </c>
      <c r="BC38">
        <f t="shared" si="45"/>
        <v>10</v>
      </c>
      <c r="BD38">
        <f t="shared" si="45"/>
        <v>5</v>
      </c>
      <c r="BE38">
        <f t="shared" si="45"/>
        <v>2.5</v>
      </c>
      <c r="BF38">
        <f t="shared" ref="BF38:BN38" si="46">SUM(V38:V39)</f>
        <v>10</v>
      </c>
      <c r="BG38">
        <f t="shared" si="46"/>
        <v>5</v>
      </c>
      <c r="BH38">
        <f t="shared" si="46"/>
        <v>5</v>
      </c>
      <c r="BI38">
        <f t="shared" si="46"/>
        <v>5</v>
      </c>
      <c r="BJ38">
        <f t="shared" si="46"/>
        <v>5</v>
      </c>
      <c r="BK38">
        <f t="shared" si="46"/>
        <v>2.5</v>
      </c>
      <c r="BL38">
        <f t="shared" si="46"/>
        <v>2.5</v>
      </c>
      <c r="BM38">
        <f t="shared" si="46"/>
        <v>2.5</v>
      </c>
      <c r="BN38">
        <f t="shared" si="46"/>
        <v>2.5</v>
      </c>
      <c r="BO38">
        <f t="shared" ref="BO38:BU38" si="47">SUM(AF38:AF39)</f>
        <v>10</v>
      </c>
      <c r="BP38">
        <f t="shared" si="47"/>
        <v>2.5</v>
      </c>
      <c r="BQ38">
        <f t="shared" si="47"/>
        <v>10</v>
      </c>
      <c r="BR38">
        <f t="shared" si="47"/>
        <v>5</v>
      </c>
      <c r="BS38">
        <f t="shared" si="47"/>
        <v>5</v>
      </c>
      <c r="BT38">
        <f t="shared" si="47"/>
        <v>2.5</v>
      </c>
      <c r="BU38">
        <f t="shared" si="47"/>
        <v>2.5</v>
      </c>
    </row>
    <row r="39" spans="2:73">
      <c r="B39" s="110"/>
      <c r="C39" s="9" t="s">
        <v>69</v>
      </c>
      <c r="D39" s="7">
        <v>12.5</v>
      </c>
      <c r="E39" s="7">
        <v>12.5</v>
      </c>
      <c r="F39" s="7">
        <v>5</v>
      </c>
      <c r="G39" s="7">
        <v>2.5</v>
      </c>
      <c r="H39" s="7">
        <v>2.5</v>
      </c>
      <c r="I39" s="7">
        <v>0</v>
      </c>
      <c r="J39" s="7">
        <v>7.5</v>
      </c>
      <c r="K39" s="7">
        <v>0</v>
      </c>
      <c r="L39" s="7">
        <v>9.6999999999999993</v>
      </c>
      <c r="M39" s="7">
        <v>7.5</v>
      </c>
      <c r="N39" s="7">
        <v>5</v>
      </c>
      <c r="O39" s="7">
        <v>0</v>
      </c>
      <c r="P39" s="7">
        <v>0</v>
      </c>
      <c r="Q39" s="7">
        <v>0</v>
      </c>
      <c r="R39" s="7">
        <v>0</v>
      </c>
      <c r="S39" s="7">
        <v>5</v>
      </c>
      <c r="T39" s="7">
        <v>2.5</v>
      </c>
      <c r="U39" s="10">
        <v>72.2</v>
      </c>
      <c r="V39" s="7">
        <v>5</v>
      </c>
      <c r="W39" s="7">
        <v>5</v>
      </c>
      <c r="X39" s="7">
        <v>0</v>
      </c>
      <c r="Y39" s="7">
        <v>2.5</v>
      </c>
      <c r="Z39" s="7">
        <v>5</v>
      </c>
      <c r="AA39" s="7">
        <v>2.5</v>
      </c>
      <c r="AB39" s="7">
        <v>2.5</v>
      </c>
      <c r="AC39" s="7">
        <v>2.5</v>
      </c>
      <c r="AD39" s="7">
        <v>2.5</v>
      </c>
      <c r="AE39" s="10">
        <v>27.5</v>
      </c>
      <c r="AF39" s="7">
        <v>5</v>
      </c>
      <c r="AG39" s="7">
        <v>2.5</v>
      </c>
      <c r="AH39" s="7">
        <v>5</v>
      </c>
      <c r="AI39" s="7">
        <v>5</v>
      </c>
      <c r="AJ39" s="7">
        <v>5</v>
      </c>
      <c r="AK39" s="7">
        <v>2.5</v>
      </c>
      <c r="AL39" s="7">
        <v>2.5</v>
      </c>
      <c r="AM39" s="10">
        <v>27.5</v>
      </c>
      <c r="AN39" s="10"/>
    </row>
    <row r="40" spans="2:73">
      <c r="B40" s="109" t="s">
        <v>84</v>
      </c>
      <c r="C40" s="9" t="s">
        <v>68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5</v>
      </c>
      <c r="N40" s="7">
        <v>0</v>
      </c>
      <c r="O40" s="7">
        <v>5</v>
      </c>
      <c r="P40" s="7">
        <v>5</v>
      </c>
      <c r="Q40" s="7">
        <v>10</v>
      </c>
      <c r="R40" s="7">
        <v>7.5</v>
      </c>
      <c r="S40" s="7">
        <v>0</v>
      </c>
      <c r="T40" s="7">
        <v>0</v>
      </c>
      <c r="U40" s="10">
        <v>32.5</v>
      </c>
      <c r="V40" s="7">
        <v>5</v>
      </c>
      <c r="W40" s="7">
        <v>0</v>
      </c>
      <c r="X40" s="7">
        <v>5</v>
      </c>
      <c r="Y40" s="7">
        <v>2.5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10">
        <v>12.5</v>
      </c>
      <c r="AF40" s="7">
        <v>5</v>
      </c>
      <c r="AG40" s="7">
        <v>0</v>
      </c>
      <c r="AH40" s="7">
        <v>5</v>
      </c>
      <c r="AI40" s="7">
        <v>0</v>
      </c>
      <c r="AJ40" s="7">
        <v>0</v>
      </c>
      <c r="AK40" s="7">
        <v>0</v>
      </c>
      <c r="AL40" s="7">
        <v>0</v>
      </c>
      <c r="AM40" s="10">
        <v>10</v>
      </c>
      <c r="AN40" s="10"/>
      <c r="AO40">
        <f t="shared" ref="AO40:BE40" si="48">SUM(D40:D41)</f>
        <v>10</v>
      </c>
      <c r="AP40">
        <f t="shared" si="48"/>
        <v>12.5</v>
      </c>
      <c r="AQ40">
        <f t="shared" si="48"/>
        <v>5</v>
      </c>
      <c r="AR40">
        <f t="shared" si="48"/>
        <v>2.5</v>
      </c>
      <c r="AS40">
        <f t="shared" si="48"/>
        <v>2.5</v>
      </c>
      <c r="AT40">
        <f t="shared" si="48"/>
        <v>2.5</v>
      </c>
      <c r="AU40">
        <f t="shared" si="48"/>
        <v>10</v>
      </c>
      <c r="AV40">
        <f t="shared" si="48"/>
        <v>2.5</v>
      </c>
      <c r="AW40">
        <f t="shared" si="48"/>
        <v>9.8000000000000007</v>
      </c>
      <c r="AX40">
        <f t="shared" si="48"/>
        <v>15</v>
      </c>
      <c r="AY40">
        <f t="shared" si="48"/>
        <v>5</v>
      </c>
      <c r="AZ40">
        <f t="shared" si="48"/>
        <v>5</v>
      </c>
      <c r="BA40">
        <f t="shared" si="48"/>
        <v>5</v>
      </c>
      <c r="BB40">
        <f t="shared" si="48"/>
        <v>10</v>
      </c>
      <c r="BC40">
        <f t="shared" si="48"/>
        <v>7.5</v>
      </c>
      <c r="BD40">
        <f t="shared" si="48"/>
        <v>5</v>
      </c>
      <c r="BE40">
        <f t="shared" si="48"/>
        <v>5</v>
      </c>
      <c r="BF40">
        <f t="shared" ref="BF40:BN40" si="49">SUM(V40:V41)</f>
        <v>10</v>
      </c>
      <c r="BG40">
        <f t="shared" si="49"/>
        <v>5</v>
      </c>
      <c r="BH40">
        <f t="shared" si="49"/>
        <v>5</v>
      </c>
      <c r="BI40">
        <f t="shared" si="49"/>
        <v>5</v>
      </c>
      <c r="BJ40">
        <f t="shared" si="49"/>
        <v>5</v>
      </c>
      <c r="BK40">
        <f t="shared" si="49"/>
        <v>2.5</v>
      </c>
      <c r="BL40">
        <f t="shared" si="49"/>
        <v>0</v>
      </c>
      <c r="BM40">
        <f t="shared" si="49"/>
        <v>2.5</v>
      </c>
      <c r="BN40">
        <f t="shared" si="49"/>
        <v>2.5</v>
      </c>
      <c r="BO40">
        <f t="shared" ref="BO40:BU40" si="50">SUM(AF40:AF41)</f>
        <v>10</v>
      </c>
      <c r="BP40">
        <f t="shared" si="50"/>
        <v>2.5</v>
      </c>
      <c r="BQ40">
        <f t="shared" si="50"/>
        <v>10</v>
      </c>
      <c r="BR40">
        <f t="shared" si="50"/>
        <v>5</v>
      </c>
      <c r="BS40">
        <f t="shared" si="50"/>
        <v>0</v>
      </c>
      <c r="BT40">
        <f t="shared" si="50"/>
        <v>2.5</v>
      </c>
      <c r="BU40">
        <f t="shared" si="50"/>
        <v>2.5</v>
      </c>
    </row>
    <row r="41" spans="2:73">
      <c r="B41" s="110"/>
      <c r="C41" s="9" t="s">
        <v>69</v>
      </c>
      <c r="D41" s="7">
        <v>10</v>
      </c>
      <c r="E41" s="7">
        <v>12.5</v>
      </c>
      <c r="F41" s="7">
        <v>5</v>
      </c>
      <c r="G41" s="7">
        <v>2.5</v>
      </c>
      <c r="H41" s="7">
        <v>2.5</v>
      </c>
      <c r="I41" s="7">
        <v>2.5</v>
      </c>
      <c r="J41" s="7">
        <v>10</v>
      </c>
      <c r="K41" s="7">
        <v>2.5</v>
      </c>
      <c r="L41" s="7">
        <v>9.8000000000000007</v>
      </c>
      <c r="M41" s="7">
        <v>10</v>
      </c>
      <c r="N41" s="7">
        <v>5</v>
      </c>
      <c r="O41" s="7">
        <v>0</v>
      </c>
      <c r="P41" s="7">
        <v>0</v>
      </c>
      <c r="Q41" s="7">
        <v>0</v>
      </c>
      <c r="R41" s="7">
        <v>0</v>
      </c>
      <c r="S41" s="7">
        <v>5</v>
      </c>
      <c r="T41" s="7">
        <v>5</v>
      </c>
      <c r="U41" s="10">
        <v>82.3</v>
      </c>
      <c r="V41" s="7">
        <v>5</v>
      </c>
      <c r="W41" s="7">
        <v>5</v>
      </c>
      <c r="X41" s="7">
        <v>0</v>
      </c>
      <c r="Y41" s="7">
        <v>2.5</v>
      </c>
      <c r="Z41" s="7">
        <v>5</v>
      </c>
      <c r="AA41" s="7">
        <v>2.5</v>
      </c>
      <c r="AB41" s="7">
        <v>0</v>
      </c>
      <c r="AC41" s="7">
        <v>2.5</v>
      </c>
      <c r="AD41" s="7">
        <v>2.5</v>
      </c>
      <c r="AE41" s="10">
        <v>25</v>
      </c>
      <c r="AF41" s="7">
        <v>5</v>
      </c>
      <c r="AG41" s="7">
        <v>2.5</v>
      </c>
      <c r="AH41" s="7">
        <v>5</v>
      </c>
      <c r="AI41" s="7">
        <v>5</v>
      </c>
      <c r="AJ41" s="7">
        <v>0</v>
      </c>
      <c r="AK41" s="7">
        <v>2.5</v>
      </c>
      <c r="AL41" s="7">
        <v>2.5</v>
      </c>
      <c r="AM41" s="10">
        <v>22.5</v>
      </c>
      <c r="AN41" s="10"/>
    </row>
    <row r="42" spans="2:73">
      <c r="B42" s="109" t="s">
        <v>85</v>
      </c>
      <c r="C42" s="9" t="s">
        <v>68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5</v>
      </c>
      <c r="N42" s="7">
        <v>0</v>
      </c>
      <c r="O42" s="7">
        <v>5</v>
      </c>
      <c r="P42" s="7">
        <v>5</v>
      </c>
      <c r="Q42" s="7">
        <v>10</v>
      </c>
      <c r="R42" s="7">
        <v>7.5</v>
      </c>
      <c r="S42" s="7">
        <v>0</v>
      </c>
      <c r="T42" s="7">
        <v>0</v>
      </c>
      <c r="U42" s="10">
        <v>32.5</v>
      </c>
      <c r="V42" s="7">
        <v>5</v>
      </c>
      <c r="W42" s="7">
        <v>0</v>
      </c>
      <c r="X42" s="7">
        <v>5</v>
      </c>
      <c r="Y42" s="7">
        <v>2.5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10">
        <v>12.5</v>
      </c>
      <c r="AF42" s="7">
        <v>5</v>
      </c>
      <c r="AG42" s="7">
        <v>0</v>
      </c>
      <c r="AH42" s="7">
        <v>5</v>
      </c>
      <c r="AI42" s="7">
        <v>0</v>
      </c>
      <c r="AJ42" s="7">
        <v>0</v>
      </c>
      <c r="AK42" s="7">
        <v>0</v>
      </c>
      <c r="AL42" s="7">
        <v>0</v>
      </c>
      <c r="AM42" s="10">
        <v>10</v>
      </c>
      <c r="AN42" s="10"/>
      <c r="AO42">
        <f t="shared" ref="AO42:BE42" si="51">SUM(D42:D43)</f>
        <v>7.5</v>
      </c>
      <c r="AP42">
        <f t="shared" si="51"/>
        <v>12.5</v>
      </c>
      <c r="AQ42">
        <f t="shared" si="51"/>
        <v>0</v>
      </c>
      <c r="AR42">
        <f t="shared" si="51"/>
        <v>2.5</v>
      </c>
      <c r="AS42">
        <f t="shared" si="51"/>
        <v>2.5</v>
      </c>
      <c r="AT42">
        <f t="shared" si="51"/>
        <v>2.5</v>
      </c>
      <c r="AU42">
        <f t="shared" si="51"/>
        <v>7.5</v>
      </c>
      <c r="AV42">
        <f t="shared" si="51"/>
        <v>2.5</v>
      </c>
      <c r="AW42">
        <f t="shared" si="51"/>
        <v>9.8000000000000007</v>
      </c>
      <c r="AX42">
        <f t="shared" si="51"/>
        <v>10</v>
      </c>
      <c r="AY42">
        <f t="shared" si="51"/>
        <v>5</v>
      </c>
      <c r="AZ42">
        <f t="shared" si="51"/>
        <v>5</v>
      </c>
      <c r="BA42">
        <f t="shared" si="51"/>
        <v>5</v>
      </c>
      <c r="BB42">
        <f t="shared" si="51"/>
        <v>10</v>
      </c>
      <c r="BC42">
        <f t="shared" si="51"/>
        <v>7.5</v>
      </c>
      <c r="BD42">
        <f t="shared" si="51"/>
        <v>5</v>
      </c>
      <c r="BE42">
        <f t="shared" si="51"/>
        <v>5</v>
      </c>
      <c r="BF42">
        <f t="shared" ref="BF42:BN42" si="52">SUM(V42:V43)</f>
        <v>10</v>
      </c>
      <c r="BG42">
        <f t="shared" si="52"/>
        <v>5</v>
      </c>
      <c r="BH42">
        <f t="shared" si="52"/>
        <v>5</v>
      </c>
      <c r="BI42">
        <f t="shared" si="52"/>
        <v>5</v>
      </c>
      <c r="BJ42">
        <f t="shared" si="52"/>
        <v>5</v>
      </c>
      <c r="BK42">
        <f t="shared" si="52"/>
        <v>2.5</v>
      </c>
      <c r="BL42">
        <f t="shared" si="52"/>
        <v>0</v>
      </c>
      <c r="BM42">
        <f t="shared" si="52"/>
        <v>2.5</v>
      </c>
      <c r="BN42">
        <f t="shared" si="52"/>
        <v>2.5</v>
      </c>
      <c r="BO42">
        <f t="shared" ref="BO42:BU42" si="53">SUM(AF42:AF43)</f>
        <v>10</v>
      </c>
      <c r="BP42">
        <f t="shared" si="53"/>
        <v>5</v>
      </c>
      <c r="BQ42">
        <f t="shared" si="53"/>
        <v>10</v>
      </c>
      <c r="BR42">
        <f t="shared" si="53"/>
        <v>5</v>
      </c>
      <c r="BS42">
        <f t="shared" si="53"/>
        <v>5</v>
      </c>
      <c r="BT42">
        <f t="shared" si="53"/>
        <v>2.5</v>
      </c>
      <c r="BU42">
        <f t="shared" si="53"/>
        <v>2.5</v>
      </c>
    </row>
    <row r="43" spans="2:73">
      <c r="B43" s="110"/>
      <c r="C43" s="9" t="s">
        <v>69</v>
      </c>
      <c r="D43" s="7">
        <v>7.5</v>
      </c>
      <c r="E43" s="7">
        <v>12.5</v>
      </c>
      <c r="F43" s="7">
        <v>0</v>
      </c>
      <c r="G43" s="7">
        <v>2.5</v>
      </c>
      <c r="H43" s="7">
        <v>2.5</v>
      </c>
      <c r="I43" s="7">
        <v>2.5</v>
      </c>
      <c r="J43" s="7">
        <v>7.5</v>
      </c>
      <c r="K43" s="7">
        <v>2.5</v>
      </c>
      <c r="L43" s="7">
        <v>9.8000000000000007</v>
      </c>
      <c r="M43" s="7">
        <v>5</v>
      </c>
      <c r="N43" s="7">
        <v>5</v>
      </c>
      <c r="O43" s="7">
        <v>0</v>
      </c>
      <c r="P43" s="7">
        <v>0</v>
      </c>
      <c r="Q43" s="7">
        <v>0</v>
      </c>
      <c r="R43" s="7">
        <v>0</v>
      </c>
      <c r="S43" s="7">
        <v>5</v>
      </c>
      <c r="T43" s="7">
        <v>5</v>
      </c>
      <c r="U43" s="10">
        <v>67.3</v>
      </c>
      <c r="V43" s="7">
        <v>5</v>
      </c>
      <c r="W43" s="7">
        <v>5</v>
      </c>
      <c r="X43" s="7">
        <v>0</v>
      </c>
      <c r="Y43" s="7">
        <v>2.5</v>
      </c>
      <c r="Z43" s="7">
        <v>5</v>
      </c>
      <c r="AA43" s="7">
        <v>2.5</v>
      </c>
      <c r="AB43" s="7">
        <v>0</v>
      </c>
      <c r="AC43" s="7">
        <v>2.5</v>
      </c>
      <c r="AD43" s="7">
        <v>2.5</v>
      </c>
      <c r="AE43" s="10">
        <v>25</v>
      </c>
      <c r="AF43" s="7">
        <v>5</v>
      </c>
      <c r="AG43" s="7">
        <v>5</v>
      </c>
      <c r="AH43" s="7">
        <v>5</v>
      </c>
      <c r="AI43" s="7">
        <v>5</v>
      </c>
      <c r="AJ43" s="7">
        <v>5</v>
      </c>
      <c r="AK43" s="7">
        <v>2.5</v>
      </c>
      <c r="AL43" s="7">
        <v>2.5</v>
      </c>
      <c r="AM43" s="10">
        <v>30</v>
      </c>
      <c r="AN43" s="10"/>
    </row>
    <row r="44" spans="2:73">
      <c r="B44" s="109" t="s">
        <v>86</v>
      </c>
      <c r="C44" s="9" t="s">
        <v>68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5</v>
      </c>
      <c r="N44" s="7">
        <v>0</v>
      </c>
      <c r="O44" s="7">
        <v>5</v>
      </c>
      <c r="P44" s="7">
        <v>5</v>
      </c>
      <c r="Q44" s="7">
        <v>10</v>
      </c>
      <c r="R44" s="7">
        <v>10</v>
      </c>
      <c r="S44" s="7">
        <v>0</v>
      </c>
      <c r="T44" s="7">
        <v>0</v>
      </c>
      <c r="U44" s="10">
        <v>35</v>
      </c>
      <c r="V44" s="7">
        <v>5</v>
      </c>
      <c r="W44" s="7">
        <v>0</v>
      </c>
      <c r="X44" s="7">
        <v>5</v>
      </c>
      <c r="Y44" s="7">
        <v>2.5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10">
        <v>12.5</v>
      </c>
      <c r="AF44" s="7">
        <v>5</v>
      </c>
      <c r="AG44" s="7">
        <v>0</v>
      </c>
      <c r="AH44" s="7">
        <v>5</v>
      </c>
      <c r="AI44" s="7">
        <v>0</v>
      </c>
      <c r="AJ44" s="7">
        <v>0</v>
      </c>
      <c r="AK44" s="7">
        <v>0</v>
      </c>
      <c r="AL44" s="7">
        <v>0</v>
      </c>
      <c r="AM44" s="10">
        <v>10</v>
      </c>
      <c r="AN44" s="10"/>
      <c r="AO44">
        <f t="shared" ref="AO44:BE44" si="54">SUM(D44:D45)</f>
        <v>12.5</v>
      </c>
      <c r="AP44">
        <f t="shared" si="54"/>
        <v>7.5</v>
      </c>
      <c r="AQ44">
        <f t="shared" si="54"/>
        <v>5</v>
      </c>
      <c r="AR44">
        <f t="shared" si="54"/>
        <v>2.5</v>
      </c>
      <c r="AS44">
        <f t="shared" si="54"/>
        <v>2.5</v>
      </c>
      <c r="AT44">
        <f t="shared" si="54"/>
        <v>2.5</v>
      </c>
      <c r="AU44">
        <f t="shared" si="54"/>
        <v>7.5</v>
      </c>
      <c r="AV44">
        <f t="shared" si="54"/>
        <v>2.5</v>
      </c>
      <c r="AW44">
        <f t="shared" si="54"/>
        <v>9.8000000000000007</v>
      </c>
      <c r="AX44">
        <f t="shared" si="54"/>
        <v>10</v>
      </c>
      <c r="AY44">
        <f t="shared" si="54"/>
        <v>2.5</v>
      </c>
      <c r="AZ44">
        <f t="shared" si="54"/>
        <v>5</v>
      </c>
      <c r="BA44">
        <f t="shared" si="54"/>
        <v>5</v>
      </c>
      <c r="BB44">
        <f t="shared" si="54"/>
        <v>10</v>
      </c>
      <c r="BC44">
        <f t="shared" si="54"/>
        <v>10</v>
      </c>
      <c r="BD44">
        <f t="shared" si="54"/>
        <v>5</v>
      </c>
      <c r="BE44">
        <f t="shared" si="54"/>
        <v>5</v>
      </c>
      <c r="BF44">
        <f t="shared" ref="BF44:BN44" si="55">SUM(V44:V45)</f>
        <v>10</v>
      </c>
      <c r="BG44">
        <f t="shared" si="55"/>
        <v>5</v>
      </c>
      <c r="BH44">
        <f t="shared" si="55"/>
        <v>5</v>
      </c>
      <c r="BI44">
        <f t="shared" si="55"/>
        <v>5</v>
      </c>
      <c r="BJ44">
        <f t="shared" si="55"/>
        <v>5</v>
      </c>
      <c r="BK44">
        <f t="shared" si="55"/>
        <v>2.5</v>
      </c>
      <c r="BL44">
        <f t="shared" si="55"/>
        <v>2.5</v>
      </c>
      <c r="BM44">
        <f t="shared" si="55"/>
        <v>2.5</v>
      </c>
      <c r="BN44">
        <f t="shared" si="55"/>
        <v>2.5</v>
      </c>
      <c r="BO44">
        <f t="shared" ref="BO44:BU44" si="56">SUM(AF44:AF45)</f>
        <v>10</v>
      </c>
      <c r="BP44">
        <f t="shared" si="56"/>
        <v>5</v>
      </c>
      <c r="BQ44">
        <f t="shared" si="56"/>
        <v>10</v>
      </c>
      <c r="BR44">
        <f t="shared" si="56"/>
        <v>2.5</v>
      </c>
      <c r="BS44">
        <f t="shared" si="56"/>
        <v>5</v>
      </c>
      <c r="BT44">
        <f t="shared" si="56"/>
        <v>2.5</v>
      </c>
      <c r="BU44">
        <f t="shared" si="56"/>
        <v>2.5</v>
      </c>
    </row>
    <row r="45" spans="2:73">
      <c r="B45" s="110"/>
      <c r="C45" s="9" t="s">
        <v>69</v>
      </c>
      <c r="D45" s="7">
        <v>12.5</v>
      </c>
      <c r="E45" s="7">
        <v>7.5</v>
      </c>
      <c r="F45" s="7">
        <v>5</v>
      </c>
      <c r="G45" s="7">
        <v>2.5</v>
      </c>
      <c r="H45" s="7">
        <v>2.5</v>
      </c>
      <c r="I45" s="7">
        <v>2.5</v>
      </c>
      <c r="J45" s="7">
        <v>7.5</v>
      </c>
      <c r="K45" s="7">
        <v>2.5</v>
      </c>
      <c r="L45" s="7">
        <v>9.8000000000000007</v>
      </c>
      <c r="M45" s="7">
        <v>5</v>
      </c>
      <c r="N45" s="7">
        <v>2.5</v>
      </c>
      <c r="O45" s="7">
        <v>0</v>
      </c>
      <c r="P45" s="7">
        <v>0</v>
      </c>
      <c r="Q45" s="7">
        <v>0</v>
      </c>
      <c r="R45" s="7">
        <v>0</v>
      </c>
      <c r="S45" s="7">
        <v>5</v>
      </c>
      <c r="T45" s="7">
        <v>5</v>
      </c>
      <c r="U45" s="10">
        <v>69.8</v>
      </c>
      <c r="V45" s="7">
        <v>5</v>
      </c>
      <c r="W45" s="7">
        <v>5</v>
      </c>
      <c r="X45" s="7">
        <v>0</v>
      </c>
      <c r="Y45" s="7">
        <v>2.5</v>
      </c>
      <c r="Z45" s="7">
        <v>5</v>
      </c>
      <c r="AA45" s="7">
        <v>2.5</v>
      </c>
      <c r="AB45" s="7">
        <v>2.5</v>
      </c>
      <c r="AC45" s="7">
        <v>2.5</v>
      </c>
      <c r="AD45" s="7">
        <v>2.5</v>
      </c>
      <c r="AE45" s="10">
        <v>27.5</v>
      </c>
      <c r="AF45" s="7">
        <v>5</v>
      </c>
      <c r="AG45" s="7">
        <v>5</v>
      </c>
      <c r="AH45" s="7">
        <v>5</v>
      </c>
      <c r="AI45" s="7">
        <v>2.5</v>
      </c>
      <c r="AJ45" s="7">
        <v>5</v>
      </c>
      <c r="AK45" s="7">
        <v>2.5</v>
      </c>
      <c r="AL45" s="7">
        <v>2.5</v>
      </c>
      <c r="AM45" s="10">
        <v>27.5</v>
      </c>
      <c r="AN45" s="10"/>
    </row>
    <row r="46" spans="2:73">
      <c r="B46" s="109" t="s">
        <v>87</v>
      </c>
      <c r="C46" s="9" t="s">
        <v>68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5</v>
      </c>
      <c r="N46" s="7">
        <v>0</v>
      </c>
      <c r="O46" s="7">
        <v>5</v>
      </c>
      <c r="P46" s="7">
        <v>5</v>
      </c>
      <c r="Q46" s="7">
        <v>10</v>
      </c>
      <c r="R46" s="7">
        <v>10</v>
      </c>
      <c r="S46" s="7">
        <v>0</v>
      </c>
      <c r="T46" s="7">
        <v>0</v>
      </c>
      <c r="U46" s="10">
        <v>35</v>
      </c>
      <c r="V46" s="7">
        <v>5</v>
      </c>
      <c r="W46" s="7">
        <v>0</v>
      </c>
      <c r="X46" s="7">
        <v>5</v>
      </c>
      <c r="Y46" s="7">
        <v>2.5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10">
        <v>12.5</v>
      </c>
      <c r="AF46" s="7">
        <v>2.5</v>
      </c>
      <c r="AG46" s="7">
        <v>0</v>
      </c>
      <c r="AH46" s="7">
        <v>5</v>
      </c>
      <c r="AI46" s="7">
        <v>0</v>
      </c>
      <c r="AJ46" s="7">
        <v>0</v>
      </c>
      <c r="AK46" s="7">
        <v>0</v>
      </c>
      <c r="AL46" s="7">
        <v>0</v>
      </c>
      <c r="AM46" s="10">
        <v>7.5</v>
      </c>
      <c r="AN46" s="10"/>
      <c r="AO46">
        <f t="shared" ref="AO46:BE46" si="57">SUM(D46:D47)</f>
        <v>7.5</v>
      </c>
      <c r="AP46">
        <f t="shared" si="57"/>
        <v>12.5</v>
      </c>
      <c r="AQ46">
        <f t="shared" si="57"/>
        <v>2.5</v>
      </c>
      <c r="AR46">
        <f t="shared" si="57"/>
        <v>2.5</v>
      </c>
      <c r="AS46">
        <f t="shared" si="57"/>
        <v>2.5</v>
      </c>
      <c r="AT46">
        <f t="shared" si="57"/>
        <v>0</v>
      </c>
      <c r="AU46">
        <f t="shared" si="57"/>
        <v>7.5</v>
      </c>
      <c r="AV46">
        <f t="shared" si="57"/>
        <v>2.5</v>
      </c>
      <c r="AW46">
        <f t="shared" si="57"/>
        <v>9.9</v>
      </c>
      <c r="AX46">
        <f t="shared" si="57"/>
        <v>15</v>
      </c>
      <c r="AY46">
        <f t="shared" si="57"/>
        <v>5</v>
      </c>
      <c r="AZ46">
        <f t="shared" si="57"/>
        <v>5</v>
      </c>
      <c r="BA46">
        <f t="shared" si="57"/>
        <v>5</v>
      </c>
      <c r="BB46">
        <f t="shared" si="57"/>
        <v>10</v>
      </c>
      <c r="BC46">
        <f t="shared" si="57"/>
        <v>10</v>
      </c>
      <c r="BD46">
        <f t="shared" si="57"/>
        <v>2.5</v>
      </c>
      <c r="BE46">
        <f t="shared" si="57"/>
        <v>5</v>
      </c>
      <c r="BF46">
        <f t="shared" ref="BF46:BN46" si="58">SUM(V46:V47)</f>
        <v>10</v>
      </c>
      <c r="BG46">
        <f t="shared" si="58"/>
        <v>5</v>
      </c>
      <c r="BH46">
        <f t="shared" si="58"/>
        <v>5</v>
      </c>
      <c r="BI46">
        <f t="shared" si="58"/>
        <v>5</v>
      </c>
      <c r="BJ46">
        <f t="shared" si="58"/>
        <v>5</v>
      </c>
      <c r="BK46">
        <f t="shared" si="58"/>
        <v>2.5</v>
      </c>
      <c r="BL46">
        <f t="shared" si="58"/>
        <v>0</v>
      </c>
      <c r="BM46">
        <f t="shared" si="58"/>
        <v>2.5</v>
      </c>
      <c r="BN46">
        <f t="shared" si="58"/>
        <v>2.5</v>
      </c>
      <c r="BO46">
        <f t="shared" ref="BO46:BU46" si="59">SUM(AF46:AF47)</f>
        <v>7.5</v>
      </c>
      <c r="BP46">
        <f t="shared" si="59"/>
        <v>5</v>
      </c>
      <c r="BQ46">
        <f t="shared" si="59"/>
        <v>10</v>
      </c>
      <c r="BR46">
        <f t="shared" si="59"/>
        <v>5</v>
      </c>
      <c r="BS46">
        <f t="shared" si="59"/>
        <v>5</v>
      </c>
      <c r="BT46">
        <f t="shared" si="59"/>
        <v>2.5</v>
      </c>
      <c r="BU46">
        <f t="shared" si="59"/>
        <v>2.5</v>
      </c>
    </row>
    <row r="47" spans="2:73">
      <c r="B47" s="110"/>
      <c r="C47" s="9" t="s">
        <v>69</v>
      </c>
      <c r="D47" s="7">
        <v>7.5</v>
      </c>
      <c r="E47" s="7">
        <v>12.5</v>
      </c>
      <c r="F47" s="7">
        <v>2.5</v>
      </c>
      <c r="G47" s="7">
        <v>2.5</v>
      </c>
      <c r="H47" s="7">
        <v>2.5</v>
      </c>
      <c r="I47" s="7">
        <v>0</v>
      </c>
      <c r="J47" s="7">
        <v>7.5</v>
      </c>
      <c r="K47" s="7">
        <v>2.5</v>
      </c>
      <c r="L47" s="7">
        <v>9.9</v>
      </c>
      <c r="M47" s="7">
        <v>10</v>
      </c>
      <c r="N47" s="7">
        <v>5</v>
      </c>
      <c r="O47" s="7">
        <v>0</v>
      </c>
      <c r="P47" s="7">
        <v>0</v>
      </c>
      <c r="Q47" s="7">
        <v>0</v>
      </c>
      <c r="R47" s="7">
        <v>0</v>
      </c>
      <c r="S47" s="7">
        <v>2.5</v>
      </c>
      <c r="T47" s="7">
        <v>5</v>
      </c>
      <c r="U47" s="10">
        <v>69.900000000000006</v>
      </c>
      <c r="V47" s="7">
        <v>5</v>
      </c>
      <c r="W47" s="7">
        <v>5</v>
      </c>
      <c r="X47" s="7">
        <v>0</v>
      </c>
      <c r="Y47" s="7">
        <v>2.5</v>
      </c>
      <c r="Z47" s="7">
        <v>5</v>
      </c>
      <c r="AA47" s="7">
        <v>2.5</v>
      </c>
      <c r="AB47" s="7">
        <v>0</v>
      </c>
      <c r="AC47" s="7">
        <v>2.5</v>
      </c>
      <c r="AD47" s="7">
        <v>2.5</v>
      </c>
      <c r="AE47" s="10">
        <v>25</v>
      </c>
      <c r="AF47" s="7">
        <v>5</v>
      </c>
      <c r="AG47" s="7">
        <v>5</v>
      </c>
      <c r="AH47" s="7">
        <v>5</v>
      </c>
      <c r="AI47" s="7">
        <v>5</v>
      </c>
      <c r="AJ47" s="7">
        <v>5</v>
      </c>
      <c r="AK47" s="7">
        <v>2.5</v>
      </c>
      <c r="AL47" s="7">
        <v>2.5</v>
      </c>
      <c r="AM47" s="10">
        <v>30</v>
      </c>
      <c r="AN47" s="10"/>
    </row>
    <row r="48" spans="2:73">
      <c r="B48" s="109" t="s">
        <v>88</v>
      </c>
      <c r="C48" s="9" t="s">
        <v>68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5</v>
      </c>
      <c r="N48" s="7">
        <v>0</v>
      </c>
      <c r="O48" s="7">
        <v>2.5</v>
      </c>
      <c r="P48" s="7">
        <v>2.5</v>
      </c>
      <c r="Q48" s="7">
        <v>10</v>
      </c>
      <c r="R48" s="7">
        <v>10</v>
      </c>
      <c r="S48" s="7">
        <v>0</v>
      </c>
      <c r="T48" s="7">
        <v>0</v>
      </c>
      <c r="U48" s="10">
        <v>30</v>
      </c>
      <c r="V48" s="7">
        <v>5</v>
      </c>
      <c r="W48" s="7">
        <v>0</v>
      </c>
      <c r="X48" s="7">
        <v>5</v>
      </c>
      <c r="Y48" s="7">
        <v>2.5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10">
        <v>12.5</v>
      </c>
      <c r="AF48" s="7">
        <v>5</v>
      </c>
      <c r="AG48" s="7">
        <v>0</v>
      </c>
      <c r="AH48" s="7">
        <v>5</v>
      </c>
      <c r="AI48" s="7">
        <v>0</v>
      </c>
      <c r="AJ48" s="7">
        <v>0</v>
      </c>
      <c r="AK48" s="7">
        <v>0</v>
      </c>
      <c r="AL48" s="7">
        <v>0</v>
      </c>
      <c r="AM48" s="10">
        <v>10</v>
      </c>
      <c r="AN48" s="10"/>
      <c r="AO48">
        <f t="shared" ref="AO48:BE48" si="60">SUM(D48:D49)</f>
        <v>12.5</v>
      </c>
      <c r="AP48">
        <f t="shared" si="60"/>
        <v>12.5</v>
      </c>
      <c r="AQ48">
        <f t="shared" si="60"/>
        <v>2.5</v>
      </c>
      <c r="AR48">
        <f t="shared" si="60"/>
        <v>2.5</v>
      </c>
      <c r="AS48">
        <f t="shared" si="60"/>
        <v>2.5</v>
      </c>
      <c r="AT48">
        <f t="shared" si="60"/>
        <v>0</v>
      </c>
      <c r="AU48">
        <f t="shared" si="60"/>
        <v>7.5</v>
      </c>
      <c r="AV48">
        <f t="shared" si="60"/>
        <v>2.5</v>
      </c>
      <c r="AW48">
        <f t="shared" si="60"/>
        <v>9.6</v>
      </c>
      <c r="AX48">
        <f t="shared" si="60"/>
        <v>10</v>
      </c>
      <c r="AY48">
        <f t="shared" si="60"/>
        <v>5</v>
      </c>
      <c r="AZ48">
        <f t="shared" si="60"/>
        <v>2.5</v>
      </c>
      <c r="BA48">
        <f t="shared" si="60"/>
        <v>2.5</v>
      </c>
      <c r="BB48">
        <f t="shared" si="60"/>
        <v>10</v>
      </c>
      <c r="BC48">
        <f t="shared" si="60"/>
        <v>10</v>
      </c>
      <c r="BD48">
        <f t="shared" si="60"/>
        <v>5</v>
      </c>
      <c r="BE48">
        <f t="shared" si="60"/>
        <v>5</v>
      </c>
      <c r="BF48">
        <f t="shared" ref="BF48:BN48" si="61">SUM(V48:V49)</f>
        <v>10</v>
      </c>
      <c r="BG48">
        <f t="shared" si="61"/>
        <v>5</v>
      </c>
      <c r="BH48">
        <f t="shared" si="61"/>
        <v>5</v>
      </c>
      <c r="BI48">
        <f t="shared" si="61"/>
        <v>5</v>
      </c>
      <c r="BJ48">
        <f t="shared" si="61"/>
        <v>5</v>
      </c>
      <c r="BK48">
        <f t="shared" si="61"/>
        <v>2.5</v>
      </c>
      <c r="BL48">
        <f t="shared" si="61"/>
        <v>0</v>
      </c>
      <c r="BM48">
        <f t="shared" si="61"/>
        <v>2.5</v>
      </c>
      <c r="BN48">
        <f t="shared" si="61"/>
        <v>2.5</v>
      </c>
      <c r="BO48">
        <f t="shared" ref="BO48:BU48" si="62">SUM(AF48:AF49)</f>
        <v>10</v>
      </c>
      <c r="BP48">
        <f t="shared" si="62"/>
        <v>5</v>
      </c>
      <c r="BQ48">
        <f t="shared" si="62"/>
        <v>10</v>
      </c>
      <c r="BR48">
        <f t="shared" si="62"/>
        <v>2.5</v>
      </c>
      <c r="BS48">
        <f t="shared" si="62"/>
        <v>5</v>
      </c>
      <c r="BT48">
        <f t="shared" si="62"/>
        <v>2.5</v>
      </c>
      <c r="BU48">
        <f t="shared" si="62"/>
        <v>2.5</v>
      </c>
    </row>
    <row r="49" spans="2:73">
      <c r="B49" s="110"/>
      <c r="C49" s="9" t="s">
        <v>69</v>
      </c>
      <c r="D49" s="7">
        <v>12.5</v>
      </c>
      <c r="E49" s="7">
        <v>12.5</v>
      </c>
      <c r="F49" s="7">
        <v>2.5</v>
      </c>
      <c r="G49" s="7">
        <v>2.5</v>
      </c>
      <c r="H49" s="7">
        <v>2.5</v>
      </c>
      <c r="I49" s="7">
        <v>0</v>
      </c>
      <c r="J49" s="7">
        <v>7.5</v>
      </c>
      <c r="K49" s="7">
        <v>2.5</v>
      </c>
      <c r="L49" s="7">
        <v>9.6</v>
      </c>
      <c r="M49" s="7">
        <v>5</v>
      </c>
      <c r="N49" s="7">
        <v>5</v>
      </c>
      <c r="O49" s="7">
        <v>0</v>
      </c>
      <c r="P49" s="7">
        <v>0</v>
      </c>
      <c r="Q49" s="7">
        <v>0</v>
      </c>
      <c r="R49" s="7">
        <v>0</v>
      </c>
      <c r="S49" s="7">
        <v>5</v>
      </c>
      <c r="T49" s="7">
        <v>5</v>
      </c>
      <c r="U49" s="10">
        <v>72.099999999999994</v>
      </c>
      <c r="V49" s="7">
        <v>5</v>
      </c>
      <c r="W49" s="7">
        <v>5</v>
      </c>
      <c r="X49" s="7">
        <v>0</v>
      </c>
      <c r="Y49" s="7">
        <v>2.5</v>
      </c>
      <c r="Z49" s="7">
        <v>5</v>
      </c>
      <c r="AA49" s="7">
        <v>2.5</v>
      </c>
      <c r="AB49" s="7">
        <v>0</v>
      </c>
      <c r="AC49" s="7">
        <v>2.5</v>
      </c>
      <c r="AD49" s="7">
        <v>2.5</v>
      </c>
      <c r="AE49" s="10">
        <v>25</v>
      </c>
      <c r="AF49" s="7">
        <v>5</v>
      </c>
      <c r="AG49" s="7">
        <v>5</v>
      </c>
      <c r="AH49" s="7">
        <v>5</v>
      </c>
      <c r="AI49" s="7">
        <v>2.5</v>
      </c>
      <c r="AJ49" s="7">
        <v>5</v>
      </c>
      <c r="AK49" s="7">
        <v>2.5</v>
      </c>
      <c r="AL49" s="7">
        <v>2.5</v>
      </c>
      <c r="AM49" s="10">
        <v>27.5</v>
      </c>
      <c r="AN49" s="10"/>
    </row>
    <row r="50" spans="2:73">
      <c r="B50" s="109" t="s">
        <v>89</v>
      </c>
      <c r="C50" s="9" t="s">
        <v>68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2.5</v>
      </c>
      <c r="N50" s="7">
        <v>0</v>
      </c>
      <c r="O50" s="7">
        <v>5</v>
      </c>
      <c r="P50" s="7">
        <v>5</v>
      </c>
      <c r="Q50" s="7">
        <v>10</v>
      </c>
      <c r="R50" s="7">
        <v>10</v>
      </c>
      <c r="S50" s="7">
        <v>0</v>
      </c>
      <c r="T50" s="7">
        <v>0</v>
      </c>
      <c r="U50" s="10">
        <v>32.5</v>
      </c>
      <c r="V50" s="7">
        <v>2.5</v>
      </c>
      <c r="W50" s="7">
        <v>0</v>
      </c>
      <c r="X50" s="7">
        <v>5</v>
      </c>
      <c r="Y50" s="7">
        <v>2.5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10">
        <v>10</v>
      </c>
      <c r="AF50" s="7">
        <v>0</v>
      </c>
      <c r="AG50" s="7">
        <v>0</v>
      </c>
      <c r="AH50" s="7">
        <v>5</v>
      </c>
      <c r="AI50" s="7">
        <v>0</v>
      </c>
      <c r="AJ50" s="7">
        <v>0</v>
      </c>
      <c r="AK50" s="7">
        <v>0</v>
      </c>
      <c r="AL50" s="7">
        <v>0</v>
      </c>
      <c r="AM50" s="10">
        <v>5</v>
      </c>
      <c r="AN50" s="10"/>
      <c r="AO50">
        <f t="shared" ref="AO50:BE50" si="63">SUM(D50:D51)</f>
        <v>7.5</v>
      </c>
      <c r="AP50">
        <f t="shared" si="63"/>
        <v>12.5</v>
      </c>
      <c r="AQ50">
        <f t="shared" si="63"/>
        <v>5</v>
      </c>
      <c r="AR50">
        <f t="shared" si="63"/>
        <v>2.5</v>
      </c>
      <c r="AS50">
        <f t="shared" si="63"/>
        <v>2.5</v>
      </c>
      <c r="AT50">
        <f t="shared" si="63"/>
        <v>2.5</v>
      </c>
      <c r="AU50">
        <f t="shared" si="63"/>
        <v>10</v>
      </c>
      <c r="AV50">
        <f t="shared" si="63"/>
        <v>0</v>
      </c>
      <c r="AW50">
        <f t="shared" si="63"/>
        <v>9.6999999999999993</v>
      </c>
      <c r="AX50">
        <f t="shared" si="63"/>
        <v>10</v>
      </c>
      <c r="AY50">
        <f t="shared" si="63"/>
        <v>5</v>
      </c>
      <c r="AZ50">
        <f t="shared" si="63"/>
        <v>5</v>
      </c>
      <c r="BA50">
        <f t="shared" si="63"/>
        <v>5</v>
      </c>
      <c r="BB50">
        <f t="shared" si="63"/>
        <v>10</v>
      </c>
      <c r="BC50">
        <f t="shared" si="63"/>
        <v>10</v>
      </c>
      <c r="BD50">
        <f t="shared" si="63"/>
        <v>5</v>
      </c>
      <c r="BE50">
        <f t="shared" si="63"/>
        <v>5</v>
      </c>
      <c r="BF50">
        <f t="shared" ref="BF50:BN50" si="64">SUM(V50:V51)</f>
        <v>7.5</v>
      </c>
      <c r="BG50">
        <f t="shared" si="64"/>
        <v>5</v>
      </c>
      <c r="BH50">
        <f t="shared" si="64"/>
        <v>5</v>
      </c>
      <c r="BI50">
        <f t="shared" si="64"/>
        <v>5</v>
      </c>
      <c r="BJ50">
        <f t="shared" si="64"/>
        <v>5</v>
      </c>
      <c r="BK50">
        <f t="shared" si="64"/>
        <v>2.5</v>
      </c>
      <c r="BL50">
        <f t="shared" si="64"/>
        <v>2.5</v>
      </c>
      <c r="BM50">
        <f t="shared" si="64"/>
        <v>2.5</v>
      </c>
      <c r="BN50">
        <f t="shared" si="64"/>
        <v>2.5</v>
      </c>
      <c r="BO50">
        <f t="shared" ref="BO50:BU50" si="65">SUM(AF50:AF51)</f>
        <v>5</v>
      </c>
      <c r="BP50">
        <f t="shared" si="65"/>
        <v>5</v>
      </c>
      <c r="BQ50">
        <f t="shared" si="65"/>
        <v>10</v>
      </c>
      <c r="BR50">
        <f t="shared" si="65"/>
        <v>5</v>
      </c>
      <c r="BS50">
        <f t="shared" si="65"/>
        <v>5</v>
      </c>
      <c r="BT50">
        <f t="shared" si="65"/>
        <v>2.5</v>
      </c>
      <c r="BU50">
        <f t="shared" si="65"/>
        <v>2.5</v>
      </c>
    </row>
    <row r="51" spans="2:73">
      <c r="B51" s="110"/>
      <c r="C51" s="9" t="s">
        <v>69</v>
      </c>
      <c r="D51" s="7">
        <v>7.5</v>
      </c>
      <c r="E51" s="7">
        <v>12.5</v>
      </c>
      <c r="F51" s="7">
        <v>5</v>
      </c>
      <c r="G51" s="7">
        <v>2.5</v>
      </c>
      <c r="H51" s="7">
        <v>2.5</v>
      </c>
      <c r="I51" s="7">
        <v>2.5</v>
      </c>
      <c r="J51" s="7">
        <v>10</v>
      </c>
      <c r="K51" s="7">
        <v>0</v>
      </c>
      <c r="L51" s="7">
        <v>9.6999999999999993</v>
      </c>
      <c r="M51" s="7">
        <v>7.5</v>
      </c>
      <c r="N51" s="7">
        <v>5</v>
      </c>
      <c r="O51" s="7">
        <v>0</v>
      </c>
      <c r="P51" s="7">
        <v>0</v>
      </c>
      <c r="Q51" s="7">
        <v>0</v>
      </c>
      <c r="R51" s="7">
        <v>0</v>
      </c>
      <c r="S51" s="7">
        <v>5</v>
      </c>
      <c r="T51" s="7">
        <v>5</v>
      </c>
      <c r="U51" s="10">
        <v>74.7</v>
      </c>
      <c r="V51" s="7">
        <v>5</v>
      </c>
      <c r="W51" s="7">
        <v>5</v>
      </c>
      <c r="X51" s="7">
        <v>0</v>
      </c>
      <c r="Y51" s="7">
        <v>2.5</v>
      </c>
      <c r="Z51" s="7">
        <v>5</v>
      </c>
      <c r="AA51" s="7">
        <v>2.5</v>
      </c>
      <c r="AB51" s="7">
        <v>2.5</v>
      </c>
      <c r="AC51" s="7">
        <v>2.5</v>
      </c>
      <c r="AD51" s="7">
        <v>2.5</v>
      </c>
      <c r="AE51" s="10">
        <v>27.5</v>
      </c>
      <c r="AF51" s="7">
        <v>5</v>
      </c>
      <c r="AG51" s="7">
        <v>5</v>
      </c>
      <c r="AH51" s="7">
        <v>5</v>
      </c>
      <c r="AI51" s="7">
        <v>5</v>
      </c>
      <c r="AJ51" s="7">
        <v>5</v>
      </c>
      <c r="AK51" s="7">
        <v>2.5</v>
      </c>
      <c r="AL51" s="7">
        <v>2.5</v>
      </c>
      <c r="AM51" s="10">
        <v>30</v>
      </c>
      <c r="AN51" s="10"/>
    </row>
    <row r="52" spans="2:73">
      <c r="B52" s="109" t="s">
        <v>90</v>
      </c>
      <c r="C52" s="9" t="s">
        <v>68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5</v>
      </c>
      <c r="N52" s="7">
        <v>0</v>
      </c>
      <c r="O52" s="7">
        <v>5</v>
      </c>
      <c r="P52" s="7">
        <v>5</v>
      </c>
      <c r="Q52" s="7">
        <v>10</v>
      </c>
      <c r="R52" s="7">
        <v>7.5</v>
      </c>
      <c r="S52" s="7">
        <v>0</v>
      </c>
      <c r="T52" s="7">
        <v>0</v>
      </c>
      <c r="U52" s="10">
        <v>32.5</v>
      </c>
      <c r="V52" s="7">
        <v>2.5</v>
      </c>
      <c r="W52" s="7">
        <v>0</v>
      </c>
      <c r="X52" s="7">
        <v>5</v>
      </c>
      <c r="Y52" s="7">
        <v>2.5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10">
        <v>10</v>
      </c>
      <c r="AF52" s="7">
        <v>5</v>
      </c>
      <c r="AG52" s="7">
        <v>0</v>
      </c>
      <c r="AH52" s="7">
        <v>5</v>
      </c>
      <c r="AI52" s="7">
        <v>0</v>
      </c>
      <c r="AJ52" s="7">
        <v>0</v>
      </c>
      <c r="AK52" s="7">
        <v>0</v>
      </c>
      <c r="AL52" s="7">
        <v>0</v>
      </c>
      <c r="AM52" s="10">
        <v>10</v>
      </c>
      <c r="AN52" s="10"/>
      <c r="AO52">
        <f t="shared" ref="AO52:BE52" si="66">SUM(D52:D53)</f>
        <v>12.5</v>
      </c>
      <c r="AP52">
        <f t="shared" si="66"/>
        <v>12.5</v>
      </c>
      <c r="AQ52">
        <f t="shared" si="66"/>
        <v>2.5</v>
      </c>
      <c r="AR52">
        <f t="shared" si="66"/>
        <v>2.5</v>
      </c>
      <c r="AS52">
        <f t="shared" si="66"/>
        <v>2.5</v>
      </c>
      <c r="AT52">
        <f t="shared" si="66"/>
        <v>0</v>
      </c>
      <c r="AU52">
        <f t="shared" si="66"/>
        <v>7.5</v>
      </c>
      <c r="AV52">
        <f t="shared" si="66"/>
        <v>2.5</v>
      </c>
      <c r="AW52">
        <f t="shared" si="66"/>
        <v>9.8000000000000007</v>
      </c>
      <c r="AX52">
        <f t="shared" si="66"/>
        <v>10</v>
      </c>
      <c r="AY52">
        <f t="shared" si="66"/>
        <v>5</v>
      </c>
      <c r="AZ52">
        <f t="shared" si="66"/>
        <v>5</v>
      </c>
      <c r="BA52">
        <f t="shared" si="66"/>
        <v>5</v>
      </c>
      <c r="BB52">
        <f t="shared" si="66"/>
        <v>10</v>
      </c>
      <c r="BC52">
        <f t="shared" si="66"/>
        <v>7.5</v>
      </c>
      <c r="BD52">
        <f t="shared" si="66"/>
        <v>5</v>
      </c>
      <c r="BE52">
        <f t="shared" si="66"/>
        <v>5</v>
      </c>
      <c r="BF52">
        <f t="shared" ref="BF52:BN52" si="67">SUM(V52:V53)</f>
        <v>7.5</v>
      </c>
      <c r="BG52">
        <f t="shared" si="67"/>
        <v>5</v>
      </c>
      <c r="BH52">
        <f t="shared" si="67"/>
        <v>5</v>
      </c>
      <c r="BI52">
        <f t="shared" si="67"/>
        <v>5</v>
      </c>
      <c r="BJ52">
        <f t="shared" si="67"/>
        <v>5</v>
      </c>
      <c r="BK52">
        <f t="shared" si="67"/>
        <v>2.5</v>
      </c>
      <c r="BL52">
        <f t="shared" si="67"/>
        <v>0</v>
      </c>
      <c r="BM52">
        <f t="shared" si="67"/>
        <v>2.5</v>
      </c>
      <c r="BN52">
        <f t="shared" si="67"/>
        <v>2.5</v>
      </c>
      <c r="BO52">
        <f t="shared" ref="BO52:BU52" si="68">SUM(AF52:AF53)</f>
        <v>7.5</v>
      </c>
      <c r="BP52">
        <f t="shared" si="68"/>
        <v>5</v>
      </c>
      <c r="BQ52">
        <f t="shared" si="68"/>
        <v>10</v>
      </c>
      <c r="BR52">
        <f t="shared" si="68"/>
        <v>5</v>
      </c>
      <c r="BS52">
        <f t="shared" si="68"/>
        <v>5</v>
      </c>
      <c r="BT52">
        <f t="shared" si="68"/>
        <v>2.5</v>
      </c>
      <c r="BU52">
        <f t="shared" si="68"/>
        <v>2.5</v>
      </c>
    </row>
    <row r="53" spans="2:73">
      <c r="B53" s="110"/>
      <c r="C53" s="9" t="s">
        <v>69</v>
      </c>
      <c r="D53" s="7">
        <v>12.5</v>
      </c>
      <c r="E53" s="7">
        <v>12.5</v>
      </c>
      <c r="F53" s="7">
        <v>2.5</v>
      </c>
      <c r="G53" s="7">
        <v>2.5</v>
      </c>
      <c r="H53" s="7">
        <v>2.5</v>
      </c>
      <c r="I53" s="7">
        <v>0</v>
      </c>
      <c r="J53" s="7">
        <v>7.5</v>
      </c>
      <c r="K53" s="7">
        <v>2.5</v>
      </c>
      <c r="L53" s="7">
        <v>9.8000000000000007</v>
      </c>
      <c r="M53" s="7">
        <v>5</v>
      </c>
      <c r="N53" s="7">
        <v>5</v>
      </c>
      <c r="O53" s="7">
        <v>0</v>
      </c>
      <c r="P53" s="7">
        <v>0</v>
      </c>
      <c r="Q53" s="7">
        <v>0</v>
      </c>
      <c r="R53" s="7">
        <v>0</v>
      </c>
      <c r="S53" s="7">
        <v>5</v>
      </c>
      <c r="T53" s="7">
        <v>5</v>
      </c>
      <c r="U53" s="10">
        <v>72.3</v>
      </c>
      <c r="V53" s="7">
        <v>5</v>
      </c>
      <c r="W53" s="7">
        <v>5</v>
      </c>
      <c r="X53" s="7">
        <v>0</v>
      </c>
      <c r="Y53" s="7">
        <v>2.5</v>
      </c>
      <c r="Z53" s="7">
        <v>5</v>
      </c>
      <c r="AA53" s="7">
        <v>2.5</v>
      </c>
      <c r="AB53" s="7">
        <v>0</v>
      </c>
      <c r="AC53" s="7">
        <v>2.5</v>
      </c>
      <c r="AD53" s="7">
        <v>2.5</v>
      </c>
      <c r="AE53" s="10">
        <v>25</v>
      </c>
      <c r="AF53" s="7">
        <v>2.5</v>
      </c>
      <c r="AG53" s="7">
        <v>5</v>
      </c>
      <c r="AH53" s="7">
        <v>5</v>
      </c>
      <c r="AI53" s="7">
        <v>5</v>
      </c>
      <c r="AJ53" s="7">
        <v>5</v>
      </c>
      <c r="AK53" s="7">
        <v>2.5</v>
      </c>
      <c r="AL53" s="7">
        <v>2.5</v>
      </c>
      <c r="AM53" s="10">
        <v>27.5</v>
      </c>
      <c r="AN53" s="10"/>
    </row>
    <row r="54" spans="2:73">
      <c r="B54" s="109" t="s">
        <v>91</v>
      </c>
      <c r="C54" s="9" t="s">
        <v>68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5</v>
      </c>
      <c r="N54" s="7">
        <v>0</v>
      </c>
      <c r="O54" s="7">
        <v>2.5</v>
      </c>
      <c r="P54" s="7">
        <v>5</v>
      </c>
      <c r="Q54" s="7">
        <v>10</v>
      </c>
      <c r="R54" s="7">
        <v>7.5</v>
      </c>
      <c r="S54" s="7">
        <v>0</v>
      </c>
      <c r="T54" s="7">
        <v>0</v>
      </c>
      <c r="U54" s="10">
        <v>30</v>
      </c>
      <c r="V54" s="7">
        <v>5</v>
      </c>
      <c r="W54" s="7">
        <v>0</v>
      </c>
      <c r="X54" s="7">
        <v>5</v>
      </c>
      <c r="Y54" s="7">
        <v>2.5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10">
        <v>12.5</v>
      </c>
      <c r="AF54" s="7">
        <v>5</v>
      </c>
      <c r="AG54" s="7">
        <v>0</v>
      </c>
      <c r="AH54" s="7">
        <v>5</v>
      </c>
      <c r="AI54" s="7">
        <v>0</v>
      </c>
      <c r="AJ54" s="7">
        <v>0</v>
      </c>
      <c r="AK54" s="7">
        <v>0</v>
      </c>
      <c r="AL54" s="7">
        <v>0</v>
      </c>
      <c r="AM54" s="10">
        <v>10</v>
      </c>
      <c r="AN54" s="10"/>
      <c r="AO54">
        <f t="shared" ref="AO54:BE54" si="69">SUM(D54:D55)</f>
        <v>12.5</v>
      </c>
      <c r="AP54">
        <f t="shared" si="69"/>
        <v>12.5</v>
      </c>
      <c r="AQ54">
        <f t="shared" si="69"/>
        <v>5</v>
      </c>
      <c r="AR54">
        <f t="shared" si="69"/>
        <v>2.5</v>
      </c>
      <c r="AS54">
        <f t="shared" si="69"/>
        <v>2.5</v>
      </c>
      <c r="AT54">
        <f t="shared" si="69"/>
        <v>2.5</v>
      </c>
      <c r="AU54">
        <f t="shared" si="69"/>
        <v>10</v>
      </c>
      <c r="AV54">
        <f t="shared" si="69"/>
        <v>2.5</v>
      </c>
      <c r="AW54">
        <f t="shared" si="69"/>
        <v>9.8000000000000007</v>
      </c>
      <c r="AX54">
        <f t="shared" si="69"/>
        <v>15</v>
      </c>
      <c r="AY54">
        <f t="shared" si="69"/>
        <v>2.5</v>
      </c>
      <c r="AZ54">
        <f t="shared" si="69"/>
        <v>2.5</v>
      </c>
      <c r="BA54">
        <f t="shared" si="69"/>
        <v>5</v>
      </c>
      <c r="BB54">
        <f t="shared" si="69"/>
        <v>10</v>
      </c>
      <c r="BC54">
        <f t="shared" si="69"/>
        <v>7.5</v>
      </c>
      <c r="BD54">
        <f t="shared" si="69"/>
        <v>2.5</v>
      </c>
      <c r="BE54">
        <f t="shared" si="69"/>
        <v>5</v>
      </c>
      <c r="BF54">
        <f t="shared" ref="BF54:BN54" si="70">SUM(V54:V55)</f>
        <v>10</v>
      </c>
      <c r="BG54">
        <f t="shared" si="70"/>
        <v>5</v>
      </c>
      <c r="BH54">
        <f t="shared" si="70"/>
        <v>5</v>
      </c>
      <c r="BI54">
        <f t="shared" si="70"/>
        <v>5</v>
      </c>
      <c r="BJ54">
        <f t="shared" si="70"/>
        <v>5</v>
      </c>
      <c r="BK54">
        <f t="shared" si="70"/>
        <v>2.5</v>
      </c>
      <c r="BL54">
        <f t="shared" si="70"/>
        <v>2.5</v>
      </c>
      <c r="BM54">
        <f t="shared" si="70"/>
        <v>2.5</v>
      </c>
      <c r="BN54">
        <f t="shared" si="70"/>
        <v>2.5</v>
      </c>
      <c r="BO54">
        <f t="shared" ref="BO54:BU54" si="71">SUM(AF54:AF55)</f>
        <v>10</v>
      </c>
      <c r="BP54">
        <f t="shared" si="71"/>
        <v>5</v>
      </c>
      <c r="BQ54">
        <f t="shared" si="71"/>
        <v>10</v>
      </c>
      <c r="BR54">
        <f t="shared" si="71"/>
        <v>5</v>
      </c>
      <c r="BS54">
        <f t="shared" si="71"/>
        <v>5</v>
      </c>
      <c r="BT54">
        <f t="shared" si="71"/>
        <v>2.5</v>
      </c>
      <c r="BU54">
        <f t="shared" si="71"/>
        <v>2.5</v>
      </c>
    </row>
    <row r="55" spans="2:73">
      <c r="B55" s="110"/>
      <c r="C55" s="9" t="s">
        <v>69</v>
      </c>
      <c r="D55" s="7">
        <v>12.5</v>
      </c>
      <c r="E55" s="7">
        <v>12.5</v>
      </c>
      <c r="F55" s="7">
        <v>5</v>
      </c>
      <c r="G55" s="7">
        <v>2.5</v>
      </c>
      <c r="H55" s="7">
        <v>2.5</v>
      </c>
      <c r="I55" s="7">
        <v>2.5</v>
      </c>
      <c r="J55" s="7">
        <v>10</v>
      </c>
      <c r="K55" s="7">
        <v>2.5</v>
      </c>
      <c r="L55" s="7">
        <v>9.8000000000000007</v>
      </c>
      <c r="M55" s="7">
        <v>10</v>
      </c>
      <c r="N55" s="7">
        <v>2.5</v>
      </c>
      <c r="O55" s="7">
        <v>0</v>
      </c>
      <c r="P55" s="7">
        <v>0</v>
      </c>
      <c r="Q55" s="7">
        <v>0</v>
      </c>
      <c r="R55" s="7">
        <v>0</v>
      </c>
      <c r="S55" s="7">
        <v>2.5</v>
      </c>
      <c r="T55" s="7">
        <v>5</v>
      </c>
      <c r="U55" s="10">
        <v>79.8</v>
      </c>
      <c r="V55" s="7">
        <v>5</v>
      </c>
      <c r="W55" s="7">
        <v>5</v>
      </c>
      <c r="X55" s="7">
        <v>0</v>
      </c>
      <c r="Y55" s="7">
        <v>2.5</v>
      </c>
      <c r="Z55" s="7">
        <v>5</v>
      </c>
      <c r="AA55" s="7">
        <v>2.5</v>
      </c>
      <c r="AB55" s="7">
        <v>2.5</v>
      </c>
      <c r="AC55" s="7">
        <v>2.5</v>
      </c>
      <c r="AD55" s="7">
        <v>2.5</v>
      </c>
      <c r="AE55" s="10">
        <v>27.5</v>
      </c>
      <c r="AF55" s="7">
        <v>5</v>
      </c>
      <c r="AG55" s="7">
        <v>5</v>
      </c>
      <c r="AH55" s="7">
        <v>5</v>
      </c>
      <c r="AI55" s="7">
        <v>5</v>
      </c>
      <c r="AJ55" s="7">
        <v>5</v>
      </c>
      <c r="AK55" s="7">
        <v>2.5</v>
      </c>
      <c r="AL55" s="7">
        <v>2.5</v>
      </c>
      <c r="AM55" s="10">
        <v>30</v>
      </c>
      <c r="AN55" s="10"/>
    </row>
    <row r="56" spans="2:73">
      <c r="B56" s="109" t="s">
        <v>92</v>
      </c>
      <c r="C56" s="9" t="s">
        <v>68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5</v>
      </c>
      <c r="N56" s="7">
        <v>0</v>
      </c>
      <c r="O56" s="7">
        <v>5</v>
      </c>
      <c r="P56" s="7">
        <v>5</v>
      </c>
      <c r="Q56" s="7">
        <v>10</v>
      </c>
      <c r="R56" s="7">
        <v>7.5</v>
      </c>
      <c r="S56" s="7">
        <v>0</v>
      </c>
      <c r="T56" s="7">
        <v>0</v>
      </c>
      <c r="U56" s="10">
        <v>32.5</v>
      </c>
      <c r="V56" s="7">
        <v>5</v>
      </c>
      <c r="W56" s="7">
        <v>0</v>
      </c>
      <c r="X56" s="7">
        <v>5</v>
      </c>
      <c r="Y56" s="7">
        <v>2.5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10">
        <v>12.5</v>
      </c>
      <c r="AF56" s="7">
        <v>5</v>
      </c>
      <c r="AG56" s="7">
        <v>0</v>
      </c>
      <c r="AH56" s="7">
        <v>5</v>
      </c>
      <c r="AI56" s="7">
        <v>0</v>
      </c>
      <c r="AJ56" s="7">
        <v>0</v>
      </c>
      <c r="AK56" s="7">
        <v>0</v>
      </c>
      <c r="AL56" s="7">
        <v>0</v>
      </c>
      <c r="AM56" s="10">
        <v>10</v>
      </c>
      <c r="AN56" s="10"/>
      <c r="AO56">
        <f t="shared" ref="AO56" si="72">SUM(D56:D57)</f>
        <v>12.5</v>
      </c>
      <c r="AP56">
        <f t="shared" ref="AP56" si="73">SUM(E56:E57)</f>
        <v>12.5</v>
      </c>
      <c r="AQ56">
        <f t="shared" ref="AQ56" si="74">SUM(F56:F57)</f>
        <v>2.5</v>
      </c>
      <c r="AR56">
        <f t="shared" ref="AR56" si="75">SUM(G56:G57)</f>
        <v>2.5</v>
      </c>
      <c r="AS56">
        <f t="shared" ref="AS56" si="76">SUM(H56:H57)</f>
        <v>2.5</v>
      </c>
      <c r="AT56">
        <f t="shared" ref="AT56" si="77">SUM(I56:I57)</f>
        <v>0</v>
      </c>
      <c r="AU56">
        <f t="shared" ref="AU56" si="78">SUM(J56:J57)</f>
        <v>10</v>
      </c>
      <c r="AV56">
        <f t="shared" ref="AV56" si="79">SUM(K56:K57)</f>
        <v>2.5</v>
      </c>
      <c r="AW56">
        <f t="shared" ref="AW56" si="80">SUM(L56:L57)</f>
        <v>9.6</v>
      </c>
      <c r="AX56">
        <f t="shared" ref="AX56" si="81">SUM(M56:M57)</f>
        <v>10</v>
      </c>
      <c r="AY56">
        <f t="shared" ref="AY56" si="82">SUM(N56:N57)</f>
        <v>2.5</v>
      </c>
      <c r="AZ56">
        <f t="shared" ref="AZ56" si="83">SUM(O56:O57)</f>
        <v>5</v>
      </c>
      <c r="BA56">
        <f t="shared" ref="BA56" si="84">SUM(P56:P57)</f>
        <v>5</v>
      </c>
      <c r="BB56">
        <f t="shared" ref="BB56" si="85">SUM(Q56:Q57)</f>
        <v>10</v>
      </c>
      <c r="BC56">
        <f t="shared" ref="BC56" si="86">SUM(R56:R57)</f>
        <v>7.5</v>
      </c>
      <c r="BD56">
        <f t="shared" ref="BD56" si="87">SUM(S56:S57)</f>
        <v>5</v>
      </c>
      <c r="BE56">
        <f t="shared" ref="BE56" si="88">SUM(T56:T57)</f>
        <v>2.5</v>
      </c>
      <c r="BF56">
        <f t="shared" ref="BF56" si="89">SUM(V56:V57)</f>
        <v>10</v>
      </c>
      <c r="BG56">
        <f t="shared" ref="BG56" si="90">SUM(W56:W57)</f>
        <v>5</v>
      </c>
      <c r="BH56">
        <f t="shared" ref="BH56" si="91">SUM(X56:X57)</f>
        <v>5</v>
      </c>
      <c r="BI56">
        <f t="shared" ref="BI56" si="92">SUM(Y56:Y57)</f>
        <v>5</v>
      </c>
      <c r="BJ56">
        <f t="shared" ref="BJ56" si="93">SUM(Z56:Z57)</f>
        <v>5</v>
      </c>
      <c r="BK56">
        <f t="shared" ref="BK56" si="94">SUM(AA56:AA57)</f>
        <v>2.5</v>
      </c>
      <c r="BL56">
        <f t="shared" ref="BL56" si="95">SUM(AB56:AB57)</f>
        <v>2.5</v>
      </c>
      <c r="BM56">
        <f t="shared" ref="BM56" si="96">SUM(AC56:AC57)</f>
        <v>2.5</v>
      </c>
      <c r="BN56">
        <f t="shared" ref="BN56" si="97">SUM(AD56:AD57)</f>
        <v>2.5</v>
      </c>
      <c r="BO56">
        <f t="shared" ref="BO56" si="98">SUM(AF56:AF57)</f>
        <v>10</v>
      </c>
      <c r="BP56">
        <f t="shared" ref="BP56" si="99">SUM(AG56:AG57)</f>
        <v>5</v>
      </c>
      <c r="BQ56">
        <f t="shared" ref="BQ56" si="100">SUM(AH56:AH57)</f>
        <v>10</v>
      </c>
      <c r="BR56">
        <f t="shared" ref="BR56" si="101">SUM(AI56:AI57)</f>
        <v>5</v>
      </c>
      <c r="BS56">
        <f t="shared" ref="BS56" si="102">SUM(AJ56:AJ57)</f>
        <v>5</v>
      </c>
      <c r="BT56">
        <f t="shared" ref="BT56" si="103">SUM(AK56:AK57)</f>
        <v>2.5</v>
      </c>
      <c r="BU56">
        <f t="shared" ref="BU56" si="104">SUM(AL56:AL57)</f>
        <v>2.5</v>
      </c>
    </row>
    <row r="57" spans="2:73">
      <c r="B57" s="110"/>
      <c r="C57" s="9" t="s">
        <v>69</v>
      </c>
      <c r="D57" s="7">
        <v>12.5</v>
      </c>
      <c r="E57" s="7">
        <v>12.5</v>
      </c>
      <c r="F57" s="7">
        <v>2.5</v>
      </c>
      <c r="G57" s="7">
        <v>2.5</v>
      </c>
      <c r="H57" s="7">
        <v>2.5</v>
      </c>
      <c r="I57" s="7">
        <v>0</v>
      </c>
      <c r="J57" s="7">
        <v>10</v>
      </c>
      <c r="K57" s="7">
        <v>2.5</v>
      </c>
      <c r="L57" s="7">
        <v>9.6</v>
      </c>
      <c r="M57" s="7">
        <v>5</v>
      </c>
      <c r="N57" s="7">
        <v>2.5</v>
      </c>
      <c r="O57" s="7">
        <v>0</v>
      </c>
      <c r="P57" s="7">
        <v>0</v>
      </c>
      <c r="Q57" s="7">
        <v>0</v>
      </c>
      <c r="R57" s="7">
        <v>0</v>
      </c>
      <c r="S57" s="7">
        <v>5</v>
      </c>
      <c r="T57" s="7">
        <v>2.5</v>
      </c>
      <c r="U57" s="10">
        <v>69.599999999999994</v>
      </c>
      <c r="V57" s="7">
        <v>5</v>
      </c>
      <c r="W57" s="7">
        <v>5</v>
      </c>
      <c r="X57" s="7">
        <v>0</v>
      </c>
      <c r="Y57" s="7">
        <v>2.5</v>
      </c>
      <c r="Z57" s="7">
        <v>5</v>
      </c>
      <c r="AA57" s="7">
        <v>2.5</v>
      </c>
      <c r="AB57" s="7">
        <v>2.5</v>
      </c>
      <c r="AC57" s="7">
        <v>2.5</v>
      </c>
      <c r="AD57" s="7">
        <v>2.5</v>
      </c>
      <c r="AE57" s="10">
        <v>27.5</v>
      </c>
      <c r="AF57" s="7">
        <v>5</v>
      </c>
      <c r="AG57" s="7">
        <v>5</v>
      </c>
      <c r="AH57" s="7">
        <v>5</v>
      </c>
      <c r="AI57" s="7">
        <v>5</v>
      </c>
      <c r="AJ57" s="7">
        <v>5</v>
      </c>
      <c r="AK57" s="7">
        <v>2.5</v>
      </c>
      <c r="AL57" s="7">
        <v>2.5</v>
      </c>
      <c r="AM57" s="10">
        <v>30</v>
      </c>
      <c r="AN57" s="10"/>
    </row>
    <row r="58" spans="2:73">
      <c r="B58" s="109" t="s">
        <v>93</v>
      </c>
      <c r="C58" s="9" t="s">
        <v>68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5</v>
      </c>
      <c r="N58" s="7">
        <v>0</v>
      </c>
      <c r="O58" s="7">
        <v>5</v>
      </c>
      <c r="P58" s="7">
        <v>5</v>
      </c>
      <c r="Q58" s="7">
        <v>10</v>
      </c>
      <c r="R58" s="7">
        <v>10</v>
      </c>
      <c r="S58" s="7">
        <v>0</v>
      </c>
      <c r="T58" s="7">
        <v>0</v>
      </c>
      <c r="U58" s="10">
        <v>35</v>
      </c>
      <c r="V58" s="7">
        <v>2.5</v>
      </c>
      <c r="W58" s="7">
        <v>0</v>
      </c>
      <c r="X58" s="7">
        <v>5</v>
      </c>
      <c r="Y58" s="7">
        <v>2.5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10">
        <v>10</v>
      </c>
      <c r="AF58" s="7">
        <v>5</v>
      </c>
      <c r="AG58" s="7">
        <v>0</v>
      </c>
      <c r="AH58" s="7">
        <v>5</v>
      </c>
      <c r="AI58" s="7">
        <v>0</v>
      </c>
      <c r="AJ58" s="7">
        <v>0</v>
      </c>
      <c r="AK58" s="7">
        <v>0</v>
      </c>
      <c r="AL58" s="7">
        <v>0</v>
      </c>
      <c r="AM58" s="10">
        <v>10</v>
      </c>
      <c r="AN58" s="10"/>
      <c r="AO58">
        <f t="shared" ref="AO58" si="105">SUM(D58:D59)</f>
        <v>10</v>
      </c>
      <c r="AP58">
        <f t="shared" ref="AP58" si="106">SUM(E58:E59)</f>
        <v>12.5</v>
      </c>
      <c r="AQ58">
        <f t="shared" ref="AQ58" si="107">SUM(F58:F59)</f>
        <v>5</v>
      </c>
      <c r="AR58">
        <f t="shared" ref="AR58" si="108">SUM(G58:G59)</f>
        <v>2.5</v>
      </c>
      <c r="AS58">
        <f t="shared" ref="AS58" si="109">SUM(H58:H59)</f>
        <v>2.5</v>
      </c>
      <c r="AT58">
        <f t="shared" ref="AT58" si="110">SUM(I58:I59)</f>
        <v>0</v>
      </c>
      <c r="AU58">
        <f t="shared" ref="AU58" si="111">SUM(J58:J59)</f>
        <v>10</v>
      </c>
      <c r="AV58">
        <f t="shared" ref="AV58" si="112">SUM(K58:K59)</f>
        <v>2.5</v>
      </c>
      <c r="AW58">
        <f t="shared" ref="AW58" si="113">SUM(L58:L59)</f>
        <v>9.8000000000000007</v>
      </c>
      <c r="AX58">
        <f t="shared" ref="AX58" si="114">SUM(M58:M59)</f>
        <v>12.5</v>
      </c>
      <c r="AY58">
        <f t="shared" ref="AY58" si="115">SUM(N58:N59)</f>
        <v>5</v>
      </c>
      <c r="AZ58">
        <f t="shared" ref="AZ58" si="116">SUM(O58:O59)</f>
        <v>5</v>
      </c>
      <c r="BA58">
        <f t="shared" ref="BA58" si="117">SUM(P58:P59)</f>
        <v>5</v>
      </c>
      <c r="BB58">
        <f t="shared" ref="BB58" si="118">SUM(Q58:Q59)</f>
        <v>10</v>
      </c>
      <c r="BC58">
        <f t="shared" ref="BC58" si="119">SUM(R58:R59)</f>
        <v>10</v>
      </c>
      <c r="BD58">
        <f t="shared" ref="BD58" si="120">SUM(S58:S59)</f>
        <v>5</v>
      </c>
      <c r="BE58">
        <f t="shared" ref="BE58" si="121">SUM(T58:T59)</f>
        <v>5</v>
      </c>
      <c r="BF58">
        <f t="shared" ref="BF58" si="122">SUM(V58:V59)</f>
        <v>7.5</v>
      </c>
      <c r="BG58">
        <f t="shared" ref="BG58" si="123">SUM(W58:W59)</f>
        <v>5</v>
      </c>
      <c r="BH58">
        <f t="shared" ref="BH58" si="124">SUM(X58:X59)</f>
        <v>5</v>
      </c>
      <c r="BI58">
        <f t="shared" ref="BI58" si="125">SUM(Y58:Y59)</f>
        <v>5</v>
      </c>
      <c r="BJ58">
        <f t="shared" ref="BJ58" si="126">SUM(Z58:Z59)</f>
        <v>5</v>
      </c>
      <c r="BK58">
        <f t="shared" ref="BK58" si="127">SUM(AA58:AA59)</f>
        <v>2.5</v>
      </c>
      <c r="BL58">
        <f t="shared" ref="BL58" si="128">SUM(AB58:AB59)</f>
        <v>2.5</v>
      </c>
      <c r="BM58">
        <f t="shared" ref="BM58" si="129">SUM(AC58:AC59)</f>
        <v>2.5</v>
      </c>
      <c r="BN58">
        <f t="shared" ref="BN58" si="130">SUM(AD58:AD59)</f>
        <v>2.5</v>
      </c>
      <c r="BO58">
        <f t="shared" ref="BO58" si="131">SUM(AF58:AF59)</f>
        <v>10</v>
      </c>
      <c r="BP58">
        <f t="shared" ref="BP58" si="132">SUM(AG58:AG59)</f>
        <v>5</v>
      </c>
      <c r="BQ58">
        <f t="shared" ref="BQ58" si="133">SUM(AH58:AH59)</f>
        <v>10</v>
      </c>
      <c r="BR58">
        <f t="shared" ref="BR58" si="134">SUM(AI58:AI59)</f>
        <v>2.5</v>
      </c>
      <c r="BS58">
        <f t="shared" ref="BS58" si="135">SUM(AJ58:AJ59)</f>
        <v>5</v>
      </c>
      <c r="BT58">
        <f t="shared" ref="BT58" si="136">SUM(AK58:AK59)</f>
        <v>2.5</v>
      </c>
      <c r="BU58">
        <f t="shared" ref="BU58" si="137">SUM(AL58:AL59)</f>
        <v>2.5</v>
      </c>
    </row>
    <row r="59" spans="2:73">
      <c r="B59" s="110"/>
      <c r="C59" s="9" t="s">
        <v>69</v>
      </c>
      <c r="D59" s="7">
        <v>10</v>
      </c>
      <c r="E59" s="7">
        <v>12.5</v>
      </c>
      <c r="F59" s="7">
        <v>5</v>
      </c>
      <c r="G59" s="7">
        <v>2.5</v>
      </c>
      <c r="H59" s="7">
        <v>2.5</v>
      </c>
      <c r="I59" s="7">
        <v>0</v>
      </c>
      <c r="J59" s="7">
        <v>10</v>
      </c>
      <c r="K59" s="7">
        <v>2.5</v>
      </c>
      <c r="L59" s="7">
        <v>9.8000000000000007</v>
      </c>
      <c r="M59" s="7">
        <v>7.5</v>
      </c>
      <c r="N59" s="7">
        <v>5</v>
      </c>
      <c r="O59" s="7">
        <v>0</v>
      </c>
      <c r="P59" s="7">
        <v>0</v>
      </c>
      <c r="Q59" s="7">
        <v>0</v>
      </c>
      <c r="R59" s="7">
        <v>0</v>
      </c>
      <c r="S59" s="7">
        <v>5</v>
      </c>
      <c r="T59" s="7">
        <v>5</v>
      </c>
      <c r="U59" s="10">
        <v>77.3</v>
      </c>
      <c r="V59" s="7">
        <v>5</v>
      </c>
      <c r="W59" s="7">
        <v>5</v>
      </c>
      <c r="X59" s="7">
        <v>0</v>
      </c>
      <c r="Y59" s="7">
        <v>2.5</v>
      </c>
      <c r="Z59" s="7">
        <v>5</v>
      </c>
      <c r="AA59" s="7">
        <v>2.5</v>
      </c>
      <c r="AB59" s="7">
        <v>2.5</v>
      </c>
      <c r="AC59" s="7">
        <v>2.5</v>
      </c>
      <c r="AD59" s="7">
        <v>2.5</v>
      </c>
      <c r="AE59" s="10">
        <v>27.5</v>
      </c>
      <c r="AF59" s="7">
        <v>5</v>
      </c>
      <c r="AG59" s="7">
        <v>5</v>
      </c>
      <c r="AH59" s="7">
        <v>5</v>
      </c>
      <c r="AI59" s="7">
        <v>2.5</v>
      </c>
      <c r="AJ59" s="7">
        <v>5</v>
      </c>
      <c r="AK59" s="7">
        <v>2.5</v>
      </c>
      <c r="AL59" s="7">
        <v>2.5</v>
      </c>
      <c r="AM59" s="10">
        <v>27.5</v>
      </c>
      <c r="AN59" s="10"/>
    </row>
    <row r="60" spans="2:73">
      <c r="B60" s="109" t="s">
        <v>94</v>
      </c>
      <c r="C60" s="9" t="s">
        <v>68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5</v>
      </c>
      <c r="N60" s="7">
        <v>0</v>
      </c>
      <c r="O60" s="7">
        <v>5</v>
      </c>
      <c r="P60" s="7">
        <v>5</v>
      </c>
      <c r="Q60" s="7">
        <v>10</v>
      </c>
      <c r="R60" s="7">
        <v>7.5</v>
      </c>
      <c r="S60" s="7">
        <v>0</v>
      </c>
      <c r="T60" s="7">
        <v>0</v>
      </c>
      <c r="U60" s="10">
        <v>32.5</v>
      </c>
      <c r="V60" s="7">
        <v>2.5</v>
      </c>
      <c r="W60" s="7">
        <v>0</v>
      </c>
      <c r="X60" s="7">
        <v>5</v>
      </c>
      <c r="Y60" s="7">
        <v>2.5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10">
        <v>10</v>
      </c>
      <c r="AF60" s="7">
        <v>5</v>
      </c>
      <c r="AG60" s="7">
        <v>0</v>
      </c>
      <c r="AH60" s="7">
        <v>5</v>
      </c>
      <c r="AI60" s="7">
        <v>0</v>
      </c>
      <c r="AJ60" s="7">
        <v>0</v>
      </c>
      <c r="AK60" s="7">
        <v>0</v>
      </c>
      <c r="AL60" s="7">
        <v>0</v>
      </c>
      <c r="AM60" s="10">
        <v>10</v>
      </c>
      <c r="AN60" s="10"/>
      <c r="AO60">
        <f t="shared" ref="AO60" si="138">SUM(D60:D61)</f>
        <v>12.5</v>
      </c>
      <c r="AP60">
        <f t="shared" ref="AP60" si="139">SUM(E60:E61)</f>
        <v>12.5</v>
      </c>
      <c r="AQ60">
        <f t="shared" ref="AQ60" si="140">SUM(F60:F61)</f>
        <v>2.5</v>
      </c>
      <c r="AR60">
        <f t="shared" ref="AR60" si="141">SUM(G60:G61)</f>
        <v>2.5</v>
      </c>
      <c r="AS60">
        <f t="shared" ref="AS60" si="142">SUM(H60:H61)</f>
        <v>2.5</v>
      </c>
      <c r="AT60">
        <f t="shared" ref="AT60" si="143">SUM(I60:I61)</f>
        <v>2.5</v>
      </c>
      <c r="AU60">
        <f t="shared" ref="AU60" si="144">SUM(J60:J61)</f>
        <v>10</v>
      </c>
      <c r="AV60">
        <f t="shared" ref="AV60" si="145">SUM(K60:K61)</f>
        <v>2.5</v>
      </c>
      <c r="AW60">
        <f t="shared" ref="AW60" si="146">SUM(L60:L61)</f>
        <v>9.8000000000000007</v>
      </c>
      <c r="AX60">
        <f t="shared" ref="AX60" si="147">SUM(M60:M61)</f>
        <v>12.5</v>
      </c>
      <c r="AY60">
        <f t="shared" ref="AY60" si="148">SUM(N60:N61)</f>
        <v>5</v>
      </c>
      <c r="AZ60">
        <f t="shared" ref="AZ60" si="149">SUM(O60:O61)</f>
        <v>5</v>
      </c>
      <c r="BA60">
        <f t="shared" ref="BA60" si="150">SUM(P60:P61)</f>
        <v>5</v>
      </c>
      <c r="BB60">
        <f t="shared" ref="BB60" si="151">SUM(Q60:Q61)</f>
        <v>10</v>
      </c>
      <c r="BC60">
        <f t="shared" ref="BC60" si="152">SUM(R60:R61)</f>
        <v>7.5</v>
      </c>
      <c r="BD60">
        <f t="shared" ref="BD60" si="153">SUM(S60:S61)</f>
        <v>5</v>
      </c>
      <c r="BE60">
        <f t="shared" ref="BE60" si="154">SUM(T60:T61)</f>
        <v>5</v>
      </c>
      <c r="BF60">
        <f t="shared" ref="BF60" si="155">SUM(V60:V61)</f>
        <v>7.5</v>
      </c>
      <c r="BG60">
        <f t="shared" ref="BG60" si="156">SUM(W60:W61)</f>
        <v>5</v>
      </c>
      <c r="BH60">
        <f t="shared" ref="BH60" si="157">SUM(X60:X61)</f>
        <v>5</v>
      </c>
      <c r="BI60">
        <f t="shared" ref="BI60" si="158">SUM(Y60:Y61)</f>
        <v>5</v>
      </c>
      <c r="BJ60">
        <f t="shared" ref="BJ60" si="159">SUM(Z60:Z61)</f>
        <v>5</v>
      </c>
      <c r="BK60">
        <f t="shared" ref="BK60" si="160">SUM(AA60:AA61)</f>
        <v>2.5</v>
      </c>
      <c r="BL60">
        <f t="shared" ref="BL60" si="161">SUM(AB60:AB61)</f>
        <v>0</v>
      </c>
      <c r="BM60">
        <f t="shared" ref="BM60" si="162">SUM(AC60:AC61)</f>
        <v>2.5</v>
      </c>
      <c r="BN60">
        <f t="shared" ref="BN60" si="163">SUM(AD60:AD61)</f>
        <v>2.5</v>
      </c>
      <c r="BO60">
        <f t="shared" ref="BO60" si="164">SUM(AF60:AF61)</f>
        <v>10</v>
      </c>
      <c r="BP60">
        <f t="shared" ref="BP60" si="165">SUM(AG60:AG61)</f>
        <v>5</v>
      </c>
      <c r="BQ60">
        <f t="shared" ref="BQ60" si="166">SUM(AH60:AH61)</f>
        <v>10</v>
      </c>
      <c r="BR60">
        <f t="shared" ref="BR60" si="167">SUM(AI60:AI61)</f>
        <v>2.5</v>
      </c>
      <c r="BS60">
        <f t="shared" ref="BS60" si="168">SUM(AJ60:AJ61)</f>
        <v>5</v>
      </c>
      <c r="BT60">
        <f t="shared" ref="BT60" si="169">SUM(AK60:AK61)</f>
        <v>2.5</v>
      </c>
      <c r="BU60">
        <f t="shared" ref="BU60" si="170">SUM(AL60:AL61)</f>
        <v>2.5</v>
      </c>
    </row>
    <row r="61" spans="2:73">
      <c r="B61" s="110"/>
      <c r="C61" s="9" t="s">
        <v>69</v>
      </c>
      <c r="D61" s="7">
        <v>12.5</v>
      </c>
      <c r="E61" s="7">
        <v>12.5</v>
      </c>
      <c r="F61" s="7">
        <v>2.5</v>
      </c>
      <c r="G61" s="7">
        <v>2.5</v>
      </c>
      <c r="H61" s="7">
        <v>2.5</v>
      </c>
      <c r="I61" s="7">
        <v>2.5</v>
      </c>
      <c r="J61" s="7">
        <v>10</v>
      </c>
      <c r="K61" s="7">
        <v>2.5</v>
      </c>
      <c r="L61" s="7">
        <v>9.8000000000000007</v>
      </c>
      <c r="M61" s="7">
        <v>7.5</v>
      </c>
      <c r="N61" s="7">
        <v>5</v>
      </c>
      <c r="O61" s="7">
        <v>0</v>
      </c>
      <c r="P61" s="7">
        <v>0</v>
      </c>
      <c r="Q61" s="7">
        <v>0</v>
      </c>
      <c r="R61" s="7">
        <v>0</v>
      </c>
      <c r="S61" s="7">
        <v>5</v>
      </c>
      <c r="T61" s="7">
        <v>5</v>
      </c>
      <c r="U61" s="10">
        <v>79.8</v>
      </c>
      <c r="V61" s="7">
        <v>5</v>
      </c>
      <c r="W61" s="7">
        <v>5</v>
      </c>
      <c r="X61" s="7">
        <v>0</v>
      </c>
      <c r="Y61" s="7">
        <v>2.5</v>
      </c>
      <c r="Z61" s="7">
        <v>5</v>
      </c>
      <c r="AA61" s="7">
        <v>2.5</v>
      </c>
      <c r="AB61" s="7">
        <v>0</v>
      </c>
      <c r="AC61" s="7">
        <v>2.5</v>
      </c>
      <c r="AD61" s="7">
        <v>2.5</v>
      </c>
      <c r="AE61" s="10">
        <v>25</v>
      </c>
      <c r="AF61" s="7">
        <v>5</v>
      </c>
      <c r="AG61" s="7">
        <v>5</v>
      </c>
      <c r="AH61" s="7">
        <v>5</v>
      </c>
      <c r="AI61" s="7">
        <v>2.5</v>
      </c>
      <c r="AJ61" s="7">
        <v>5</v>
      </c>
      <c r="AK61" s="7">
        <v>2.5</v>
      </c>
      <c r="AL61" s="7">
        <v>2.5</v>
      </c>
      <c r="AM61" s="10">
        <v>27.5</v>
      </c>
      <c r="AN61" s="10"/>
    </row>
    <row r="62" spans="2:73">
      <c r="B62" s="109" t="s">
        <v>95</v>
      </c>
      <c r="C62" s="9" t="s">
        <v>68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5</v>
      </c>
      <c r="N62" s="7">
        <v>0</v>
      </c>
      <c r="O62" s="7">
        <v>5</v>
      </c>
      <c r="P62" s="7">
        <v>5</v>
      </c>
      <c r="Q62" s="7">
        <v>10</v>
      </c>
      <c r="R62" s="7">
        <v>10</v>
      </c>
      <c r="S62" s="7">
        <v>0</v>
      </c>
      <c r="T62" s="7">
        <v>0</v>
      </c>
      <c r="U62" s="10">
        <v>35</v>
      </c>
      <c r="V62" s="7">
        <v>5</v>
      </c>
      <c r="W62" s="7">
        <v>0</v>
      </c>
      <c r="X62" s="7">
        <v>5</v>
      </c>
      <c r="Y62" s="7">
        <v>2.5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10">
        <v>12.5</v>
      </c>
      <c r="AF62" s="7">
        <v>5</v>
      </c>
      <c r="AG62" s="7">
        <v>0</v>
      </c>
      <c r="AH62" s="7">
        <v>5</v>
      </c>
      <c r="AI62" s="7">
        <v>0</v>
      </c>
      <c r="AJ62" s="7">
        <v>0</v>
      </c>
      <c r="AK62" s="7">
        <v>0</v>
      </c>
      <c r="AL62" s="7">
        <v>0</v>
      </c>
      <c r="AM62" s="10">
        <v>10</v>
      </c>
      <c r="AN62" s="10"/>
      <c r="AO62">
        <f t="shared" ref="AO62" si="171">SUM(D62:D63)</f>
        <v>12.5</v>
      </c>
      <c r="AP62">
        <f t="shared" ref="AP62" si="172">SUM(E62:E63)</f>
        <v>12.5</v>
      </c>
      <c r="AQ62">
        <f t="shared" ref="AQ62" si="173">SUM(F62:F63)</f>
        <v>2.5</v>
      </c>
      <c r="AR62">
        <f t="shared" ref="AR62" si="174">SUM(G62:G63)</f>
        <v>2.5</v>
      </c>
      <c r="AS62">
        <f t="shared" ref="AS62" si="175">SUM(H62:H63)</f>
        <v>2.5</v>
      </c>
      <c r="AT62">
        <f t="shared" ref="AT62" si="176">SUM(I62:I63)</f>
        <v>2.5</v>
      </c>
      <c r="AU62">
        <f t="shared" ref="AU62" si="177">SUM(J62:J63)</f>
        <v>10</v>
      </c>
      <c r="AV62">
        <f t="shared" ref="AV62" si="178">SUM(K62:K63)</f>
        <v>2.5</v>
      </c>
      <c r="AW62">
        <f t="shared" ref="AW62" si="179">SUM(L62:L63)</f>
        <v>9.8000000000000007</v>
      </c>
      <c r="AX62">
        <f t="shared" ref="AX62" si="180">SUM(M62:M63)</f>
        <v>12.5</v>
      </c>
      <c r="AY62">
        <f t="shared" ref="AY62" si="181">SUM(N62:N63)</f>
        <v>2.5</v>
      </c>
      <c r="AZ62">
        <f t="shared" ref="AZ62" si="182">SUM(O62:O63)</f>
        <v>5</v>
      </c>
      <c r="BA62">
        <f t="shared" ref="BA62" si="183">SUM(P62:P63)</f>
        <v>5</v>
      </c>
      <c r="BB62">
        <f t="shared" ref="BB62" si="184">SUM(Q62:Q63)</f>
        <v>10</v>
      </c>
      <c r="BC62">
        <f t="shared" ref="BC62" si="185">SUM(R62:R63)</f>
        <v>10</v>
      </c>
      <c r="BD62">
        <f t="shared" ref="BD62" si="186">SUM(S62:S63)</f>
        <v>5</v>
      </c>
      <c r="BE62">
        <f t="shared" ref="BE62" si="187">SUM(T62:T63)</f>
        <v>5</v>
      </c>
      <c r="BF62">
        <f t="shared" ref="BF62" si="188">SUM(V62:V63)</f>
        <v>10</v>
      </c>
      <c r="BG62">
        <f t="shared" ref="BG62" si="189">SUM(W62:W63)</f>
        <v>5</v>
      </c>
      <c r="BH62">
        <f t="shared" ref="BH62" si="190">SUM(X62:X63)</f>
        <v>5</v>
      </c>
      <c r="BI62">
        <f t="shared" ref="BI62" si="191">SUM(Y62:Y63)</f>
        <v>5</v>
      </c>
      <c r="BJ62">
        <f t="shared" ref="BJ62" si="192">SUM(Z62:Z63)</f>
        <v>5</v>
      </c>
      <c r="BK62">
        <f t="shared" ref="BK62" si="193">SUM(AA62:AA63)</f>
        <v>2.5</v>
      </c>
      <c r="BL62">
        <f t="shared" ref="BL62" si="194">SUM(AB62:AB63)</f>
        <v>0</v>
      </c>
      <c r="BM62">
        <f t="shared" ref="BM62" si="195">SUM(AC62:AC63)</f>
        <v>2.5</v>
      </c>
      <c r="BN62">
        <f t="shared" ref="BN62" si="196">SUM(AD62:AD63)</f>
        <v>2.5</v>
      </c>
      <c r="BO62">
        <f t="shared" ref="BO62" si="197">SUM(AF62:AF63)</f>
        <v>10</v>
      </c>
      <c r="BP62">
        <f t="shared" ref="BP62" si="198">SUM(AG62:AG63)</f>
        <v>5</v>
      </c>
      <c r="BQ62">
        <f t="shared" ref="BQ62" si="199">SUM(AH62:AH63)</f>
        <v>10</v>
      </c>
      <c r="BR62">
        <f t="shared" ref="BR62" si="200">SUM(AI62:AI63)</f>
        <v>5</v>
      </c>
      <c r="BS62">
        <f t="shared" ref="BS62" si="201">SUM(AJ62:AJ63)</f>
        <v>5</v>
      </c>
      <c r="BT62">
        <f t="shared" ref="BT62" si="202">SUM(AK62:AK63)</f>
        <v>2.5</v>
      </c>
      <c r="BU62">
        <f t="shared" ref="BU62" si="203">SUM(AL62:AL63)</f>
        <v>2.5</v>
      </c>
    </row>
    <row r="63" spans="2:73">
      <c r="B63" s="110"/>
      <c r="C63" s="9" t="s">
        <v>69</v>
      </c>
      <c r="D63" s="7">
        <v>12.5</v>
      </c>
      <c r="E63" s="7">
        <v>12.5</v>
      </c>
      <c r="F63" s="7">
        <v>2.5</v>
      </c>
      <c r="G63" s="7">
        <v>2.5</v>
      </c>
      <c r="H63" s="7">
        <v>2.5</v>
      </c>
      <c r="I63" s="7">
        <v>2.5</v>
      </c>
      <c r="J63" s="7">
        <v>10</v>
      </c>
      <c r="K63" s="7">
        <v>2.5</v>
      </c>
      <c r="L63" s="7">
        <v>9.8000000000000007</v>
      </c>
      <c r="M63" s="7">
        <v>7.5</v>
      </c>
      <c r="N63" s="7">
        <v>2.5</v>
      </c>
      <c r="O63" s="7">
        <v>0</v>
      </c>
      <c r="P63" s="7">
        <v>0</v>
      </c>
      <c r="Q63" s="7">
        <v>0</v>
      </c>
      <c r="R63" s="7">
        <v>0</v>
      </c>
      <c r="S63" s="7">
        <v>5</v>
      </c>
      <c r="T63" s="7">
        <v>5</v>
      </c>
      <c r="U63" s="10">
        <v>77.3</v>
      </c>
      <c r="V63" s="7">
        <v>5</v>
      </c>
      <c r="W63" s="7">
        <v>5</v>
      </c>
      <c r="X63" s="7">
        <v>0</v>
      </c>
      <c r="Y63" s="7">
        <v>2.5</v>
      </c>
      <c r="Z63" s="7">
        <v>5</v>
      </c>
      <c r="AA63" s="7">
        <v>2.5</v>
      </c>
      <c r="AB63" s="7">
        <v>0</v>
      </c>
      <c r="AC63" s="7">
        <v>2.5</v>
      </c>
      <c r="AD63" s="7">
        <v>2.5</v>
      </c>
      <c r="AE63" s="10">
        <v>25</v>
      </c>
      <c r="AF63" s="7">
        <v>5</v>
      </c>
      <c r="AG63" s="7">
        <v>5</v>
      </c>
      <c r="AH63" s="7">
        <v>5</v>
      </c>
      <c r="AI63" s="7">
        <v>5</v>
      </c>
      <c r="AJ63" s="7">
        <v>5</v>
      </c>
      <c r="AK63" s="7">
        <v>2.5</v>
      </c>
      <c r="AL63" s="7">
        <v>2.5</v>
      </c>
      <c r="AM63" s="10">
        <v>30</v>
      </c>
      <c r="AN63" s="10"/>
    </row>
    <row r="64" spans="2:73">
      <c r="B64" s="109" t="s">
        <v>96</v>
      </c>
      <c r="C64" s="9" t="s">
        <v>68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5</v>
      </c>
      <c r="N64" s="7">
        <v>0</v>
      </c>
      <c r="O64" s="7">
        <v>5</v>
      </c>
      <c r="P64" s="7">
        <v>5</v>
      </c>
      <c r="Q64" s="7">
        <v>10</v>
      </c>
      <c r="R64" s="7">
        <v>10</v>
      </c>
      <c r="S64" s="7">
        <v>0</v>
      </c>
      <c r="T64" s="7">
        <v>0</v>
      </c>
      <c r="U64" s="10">
        <v>35</v>
      </c>
      <c r="V64" s="7">
        <v>5</v>
      </c>
      <c r="W64" s="7">
        <v>0</v>
      </c>
      <c r="X64" s="7">
        <v>5</v>
      </c>
      <c r="Y64" s="7">
        <v>2.5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10">
        <v>12.5</v>
      </c>
      <c r="AF64" s="7">
        <v>5</v>
      </c>
      <c r="AG64" s="7">
        <v>0</v>
      </c>
      <c r="AH64" s="7">
        <v>5</v>
      </c>
      <c r="AI64" s="7">
        <v>0</v>
      </c>
      <c r="AJ64" s="7">
        <v>0</v>
      </c>
      <c r="AK64" s="7">
        <v>0</v>
      </c>
      <c r="AL64" s="7">
        <v>0</v>
      </c>
      <c r="AM64" s="10">
        <v>10</v>
      </c>
      <c r="AN64" s="10"/>
      <c r="AO64">
        <f t="shared" ref="AO64" si="204">SUM(D64:D65)</f>
        <v>10</v>
      </c>
      <c r="AP64">
        <f t="shared" ref="AP64" si="205">SUM(E64:E65)</f>
        <v>12.5</v>
      </c>
      <c r="AQ64">
        <f t="shared" ref="AQ64" si="206">SUM(F64:F65)</f>
        <v>2.5</v>
      </c>
      <c r="AR64">
        <f t="shared" ref="AR64" si="207">SUM(G64:G65)</f>
        <v>2.5</v>
      </c>
      <c r="AS64">
        <f t="shared" ref="AS64" si="208">SUM(H64:H65)</f>
        <v>2.5</v>
      </c>
      <c r="AT64">
        <f t="shared" ref="AT64" si="209">SUM(I64:I65)</f>
        <v>0</v>
      </c>
      <c r="AU64">
        <f t="shared" ref="AU64" si="210">SUM(J64:J65)</f>
        <v>7.5</v>
      </c>
      <c r="AV64">
        <f t="shared" ref="AV64" si="211">SUM(K64:K65)</f>
        <v>2.5</v>
      </c>
      <c r="AW64">
        <f t="shared" ref="AW64" si="212">SUM(L64:L65)</f>
        <v>9.8000000000000007</v>
      </c>
      <c r="AX64">
        <f t="shared" ref="AX64" si="213">SUM(M64:M65)</f>
        <v>12.5</v>
      </c>
      <c r="AY64">
        <f t="shared" ref="AY64" si="214">SUM(N64:N65)</f>
        <v>2.5</v>
      </c>
      <c r="AZ64">
        <f t="shared" ref="AZ64" si="215">SUM(O64:O65)</f>
        <v>5</v>
      </c>
      <c r="BA64">
        <f t="shared" ref="BA64" si="216">SUM(P64:P65)</f>
        <v>5</v>
      </c>
      <c r="BB64">
        <f t="shared" ref="BB64" si="217">SUM(Q64:Q65)</f>
        <v>10</v>
      </c>
      <c r="BC64">
        <f t="shared" ref="BC64" si="218">SUM(R64:R65)</f>
        <v>10</v>
      </c>
      <c r="BD64">
        <f t="shared" ref="BD64" si="219">SUM(S64:S65)</f>
        <v>5</v>
      </c>
      <c r="BE64">
        <f t="shared" ref="BE64" si="220">SUM(T64:T65)</f>
        <v>5</v>
      </c>
      <c r="BF64">
        <f t="shared" ref="BF64" si="221">SUM(V64:V65)</f>
        <v>10</v>
      </c>
      <c r="BG64">
        <f t="shared" ref="BG64" si="222">SUM(W64:W65)</f>
        <v>5</v>
      </c>
      <c r="BH64">
        <f t="shared" ref="BH64" si="223">SUM(X64:X65)</f>
        <v>5</v>
      </c>
      <c r="BI64">
        <f t="shared" ref="BI64" si="224">SUM(Y64:Y65)</f>
        <v>5</v>
      </c>
      <c r="BJ64">
        <f t="shared" ref="BJ64" si="225">SUM(Z64:Z65)</f>
        <v>5</v>
      </c>
      <c r="BK64">
        <f t="shared" ref="BK64" si="226">SUM(AA64:AA65)</f>
        <v>2.5</v>
      </c>
      <c r="BL64">
        <f t="shared" ref="BL64" si="227">SUM(AB64:AB65)</f>
        <v>2.5</v>
      </c>
      <c r="BM64">
        <f t="shared" ref="BM64" si="228">SUM(AC64:AC65)</f>
        <v>2.5</v>
      </c>
      <c r="BN64">
        <f t="shared" ref="BN64" si="229">SUM(AD64:AD65)</f>
        <v>2.5</v>
      </c>
      <c r="BO64">
        <f t="shared" ref="BO64" si="230">SUM(AF64:AF65)</f>
        <v>10</v>
      </c>
      <c r="BP64">
        <f t="shared" ref="BP64" si="231">SUM(AG64:AG65)</f>
        <v>5</v>
      </c>
      <c r="BQ64">
        <f t="shared" ref="BQ64" si="232">SUM(AH64:AH65)</f>
        <v>10</v>
      </c>
      <c r="BR64">
        <f t="shared" ref="BR64" si="233">SUM(AI64:AI65)</f>
        <v>2.5</v>
      </c>
      <c r="BS64">
        <f t="shared" ref="BS64" si="234">SUM(AJ64:AJ65)</f>
        <v>5</v>
      </c>
      <c r="BT64">
        <f t="shared" ref="BT64" si="235">SUM(AK64:AK65)</f>
        <v>2.5</v>
      </c>
      <c r="BU64">
        <f t="shared" ref="BU64" si="236">SUM(AL64:AL65)</f>
        <v>2.5</v>
      </c>
    </row>
    <row r="65" spans="2:73">
      <c r="B65" s="110"/>
      <c r="C65" s="9" t="s">
        <v>69</v>
      </c>
      <c r="D65" s="7">
        <v>10</v>
      </c>
      <c r="E65" s="7">
        <v>12.5</v>
      </c>
      <c r="F65" s="7">
        <v>2.5</v>
      </c>
      <c r="G65" s="7">
        <v>2.5</v>
      </c>
      <c r="H65" s="7">
        <v>2.5</v>
      </c>
      <c r="I65" s="7">
        <v>0</v>
      </c>
      <c r="J65" s="7">
        <v>7.5</v>
      </c>
      <c r="K65" s="7">
        <v>2.5</v>
      </c>
      <c r="L65" s="7">
        <v>9.8000000000000007</v>
      </c>
      <c r="M65" s="7">
        <v>7.5</v>
      </c>
      <c r="N65" s="7">
        <v>2.5</v>
      </c>
      <c r="O65" s="7">
        <v>0</v>
      </c>
      <c r="P65" s="7">
        <v>0</v>
      </c>
      <c r="Q65" s="7">
        <v>0</v>
      </c>
      <c r="R65" s="7">
        <v>0</v>
      </c>
      <c r="S65" s="7">
        <v>5</v>
      </c>
      <c r="T65" s="7">
        <v>5</v>
      </c>
      <c r="U65" s="10">
        <v>69.8</v>
      </c>
      <c r="V65" s="7">
        <v>5</v>
      </c>
      <c r="W65" s="7">
        <v>5</v>
      </c>
      <c r="X65" s="7">
        <v>0</v>
      </c>
      <c r="Y65" s="7">
        <v>2.5</v>
      </c>
      <c r="Z65" s="7">
        <v>5</v>
      </c>
      <c r="AA65" s="7">
        <v>2.5</v>
      </c>
      <c r="AB65" s="7">
        <v>2.5</v>
      </c>
      <c r="AC65" s="7">
        <v>2.5</v>
      </c>
      <c r="AD65" s="7">
        <v>2.5</v>
      </c>
      <c r="AE65" s="10">
        <v>27.5</v>
      </c>
      <c r="AF65" s="7">
        <v>5</v>
      </c>
      <c r="AG65" s="7">
        <v>5</v>
      </c>
      <c r="AH65" s="7">
        <v>5</v>
      </c>
      <c r="AI65" s="7">
        <v>2.5</v>
      </c>
      <c r="AJ65" s="7">
        <v>5</v>
      </c>
      <c r="AK65" s="7">
        <v>2.5</v>
      </c>
      <c r="AL65" s="7">
        <v>2.5</v>
      </c>
      <c r="AM65" s="10">
        <v>27.5</v>
      </c>
      <c r="AN65" s="10"/>
    </row>
    <row r="66" spans="2:73">
      <c r="B66" s="109" t="s">
        <v>97</v>
      </c>
      <c r="C66" s="9" t="s">
        <v>68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5</v>
      </c>
      <c r="N66" s="7">
        <v>0</v>
      </c>
      <c r="O66" s="7">
        <v>2.5</v>
      </c>
      <c r="P66" s="7">
        <v>5</v>
      </c>
      <c r="Q66" s="7">
        <v>10</v>
      </c>
      <c r="R66" s="7">
        <v>10</v>
      </c>
      <c r="S66" s="7">
        <v>0</v>
      </c>
      <c r="T66" s="7">
        <v>0</v>
      </c>
      <c r="U66" s="10">
        <v>32.5</v>
      </c>
      <c r="V66" s="7">
        <v>5</v>
      </c>
      <c r="W66" s="7">
        <v>0</v>
      </c>
      <c r="X66" s="7">
        <v>5</v>
      </c>
      <c r="Y66" s="7">
        <v>2.5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10">
        <v>12.5</v>
      </c>
      <c r="AF66" s="7">
        <v>5</v>
      </c>
      <c r="AG66" s="7">
        <v>0</v>
      </c>
      <c r="AH66" s="7">
        <v>5</v>
      </c>
      <c r="AI66" s="7">
        <v>0</v>
      </c>
      <c r="AJ66" s="7">
        <v>0</v>
      </c>
      <c r="AK66" s="7">
        <v>0</v>
      </c>
      <c r="AL66" s="7">
        <v>0</v>
      </c>
      <c r="AM66" s="10">
        <v>10</v>
      </c>
      <c r="AN66" s="10"/>
      <c r="AO66">
        <f t="shared" ref="AO66" si="237">SUM(D66:D67)</f>
        <v>12.5</v>
      </c>
      <c r="AP66">
        <f t="shared" ref="AP66" si="238">SUM(E66:E67)</f>
        <v>12.5</v>
      </c>
      <c r="AQ66">
        <f t="shared" ref="AQ66" si="239">SUM(F66:F67)</f>
        <v>2.5</v>
      </c>
      <c r="AR66">
        <f t="shared" ref="AR66" si="240">SUM(G66:G67)</f>
        <v>2.5</v>
      </c>
      <c r="AS66">
        <f t="shared" ref="AS66" si="241">SUM(H66:H67)</f>
        <v>2.5</v>
      </c>
      <c r="AT66">
        <f t="shared" ref="AT66" si="242">SUM(I66:I67)</f>
        <v>2.5</v>
      </c>
      <c r="AU66">
        <f t="shared" ref="AU66" si="243">SUM(J66:J67)</f>
        <v>7.5</v>
      </c>
      <c r="AV66">
        <f t="shared" ref="AV66" si="244">SUM(K66:K67)</f>
        <v>2.5</v>
      </c>
      <c r="AW66">
        <f t="shared" ref="AW66" si="245">SUM(L66:L67)</f>
        <v>9.8000000000000007</v>
      </c>
      <c r="AX66">
        <f t="shared" ref="AX66" si="246">SUM(M66:M67)</f>
        <v>12.5</v>
      </c>
      <c r="AY66">
        <f t="shared" ref="AY66" si="247">SUM(N66:N67)</f>
        <v>2.5</v>
      </c>
      <c r="AZ66">
        <f t="shared" ref="AZ66" si="248">SUM(O66:O67)</f>
        <v>2.5</v>
      </c>
      <c r="BA66">
        <f t="shared" ref="BA66" si="249">SUM(P66:P67)</f>
        <v>5</v>
      </c>
      <c r="BB66">
        <f t="shared" ref="BB66" si="250">SUM(Q66:Q67)</f>
        <v>10</v>
      </c>
      <c r="BC66">
        <f t="shared" ref="BC66" si="251">SUM(R66:R67)</f>
        <v>10</v>
      </c>
      <c r="BD66">
        <f t="shared" ref="BD66" si="252">SUM(S66:S67)</f>
        <v>5</v>
      </c>
      <c r="BE66">
        <f t="shared" ref="BE66" si="253">SUM(T66:T67)</f>
        <v>5</v>
      </c>
      <c r="BF66">
        <f t="shared" ref="BF66" si="254">SUM(V66:V67)</f>
        <v>10</v>
      </c>
      <c r="BG66">
        <f t="shared" ref="BG66" si="255">SUM(W66:W67)</f>
        <v>5</v>
      </c>
      <c r="BH66">
        <f t="shared" ref="BH66" si="256">SUM(X66:X67)</f>
        <v>5</v>
      </c>
      <c r="BI66">
        <f t="shared" ref="BI66" si="257">SUM(Y66:Y67)</f>
        <v>5</v>
      </c>
      <c r="BJ66">
        <f t="shared" ref="BJ66" si="258">SUM(Z66:Z67)</f>
        <v>5</v>
      </c>
      <c r="BK66">
        <f t="shared" ref="BK66" si="259">SUM(AA66:AA67)</f>
        <v>2.5</v>
      </c>
      <c r="BL66">
        <f t="shared" ref="BL66" si="260">SUM(AB66:AB67)</f>
        <v>2.5</v>
      </c>
      <c r="BM66">
        <f t="shared" ref="BM66" si="261">SUM(AC66:AC67)</f>
        <v>2.5</v>
      </c>
      <c r="BN66">
        <f t="shared" ref="BN66" si="262">SUM(AD66:AD67)</f>
        <v>2.5</v>
      </c>
      <c r="BO66">
        <f t="shared" ref="BO66" si="263">SUM(AF66:AF67)</f>
        <v>10</v>
      </c>
      <c r="BP66">
        <f t="shared" ref="BP66" si="264">SUM(AG66:AG67)</f>
        <v>5</v>
      </c>
      <c r="BQ66">
        <f t="shared" ref="BQ66" si="265">SUM(AH66:AH67)</f>
        <v>10</v>
      </c>
      <c r="BR66">
        <f t="shared" ref="BR66" si="266">SUM(AI66:AI67)</f>
        <v>5</v>
      </c>
      <c r="BS66">
        <f t="shared" ref="BS66" si="267">SUM(AJ66:AJ67)</f>
        <v>5</v>
      </c>
      <c r="BT66">
        <f t="shared" ref="BT66" si="268">SUM(AK66:AK67)</f>
        <v>0</v>
      </c>
      <c r="BU66">
        <f t="shared" ref="BU66" si="269">SUM(AL66:AL67)</f>
        <v>2.5</v>
      </c>
    </row>
    <row r="67" spans="2:73">
      <c r="B67" s="110"/>
      <c r="C67" s="9" t="s">
        <v>69</v>
      </c>
      <c r="D67" s="7">
        <v>12.5</v>
      </c>
      <c r="E67" s="7">
        <v>12.5</v>
      </c>
      <c r="F67" s="7">
        <v>2.5</v>
      </c>
      <c r="G67" s="7">
        <v>2.5</v>
      </c>
      <c r="H67" s="7">
        <v>2.5</v>
      </c>
      <c r="I67" s="7">
        <v>2.5</v>
      </c>
      <c r="J67" s="7">
        <v>7.5</v>
      </c>
      <c r="K67" s="7">
        <v>2.5</v>
      </c>
      <c r="L67" s="7">
        <v>9.8000000000000007</v>
      </c>
      <c r="M67" s="7">
        <v>7.5</v>
      </c>
      <c r="N67" s="7">
        <v>2.5</v>
      </c>
      <c r="O67" s="7">
        <v>0</v>
      </c>
      <c r="P67" s="7">
        <v>0</v>
      </c>
      <c r="Q67" s="7">
        <v>0</v>
      </c>
      <c r="R67" s="7">
        <v>0</v>
      </c>
      <c r="S67" s="7">
        <v>5</v>
      </c>
      <c r="T67" s="7">
        <v>5</v>
      </c>
      <c r="U67" s="10">
        <v>74.8</v>
      </c>
      <c r="V67" s="7">
        <v>5</v>
      </c>
      <c r="W67" s="7">
        <v>5</v>
      </c>
      <c r="X67" s="7">
        <v>0</v>
      </c>
      <c r="Y67" s="7">
        <v>2.5</v>
      </c>
      <c r="Z67" s="7">
        <v>5</v>
      </c>
      <c r="AA67" s="7">
        <v>2.5</v>
      </c>
      <c r="AB67" s="7">
        <v>2.5</v>
      </c>
      <c r="AC67" s="7">
        <v>2.5</v>
      </c>
      <c r="AD67" s="7">
        <v>2.5</v>
      </c>
      <c r="AE67" s="10">
        <v>27.5</v>
      </c>
      <c r="AF67" s="7">
        <v>5</v>
      </c>
      <c r="AG67" s="7">
        <v>5</v>
      </c>
      <c r="AH67" s="7">
        <v>5</v>
      </c>
      <c r="AI67" s="7">
        <v>5</v>
      </c>
      <c r="AJ67" s="7">
        <v>5</v>
      </c>
      <c r="AK67" s="7">
        <v>0</v>
      </c>
      <c r="AL67" s="7">
        <v>2.5</v>
      </c>
      <c r="AM67" s="10">
        <v>27.5</v>
      </c>
      <c r="AN67" s="10"/>
    </row>
    <row r="68" spans="2:73">
      <c r="B68" s="109" t="s">
        <v>98</v>
      </c>
      <c r="C68" s="9" t="s">
        <v>68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5</v>
      </c>
      <c r="N68" s="7">
        <v>0</v>
      </c>
      <c r="O68" s="7">
        <v>2.5</v>
      </c>
      <c r="P68" s="7">
        <v>5</v>
      </c>
      <c r="Q68" s="7">
        <v>10</v>
      </c>
      <c r="R68" s="7">
        <v>10</v>
      </c>
      <c r="S68" s="7">
        <v>0</v>
      </c>
      <c r="T68" s="7">
        <v>0</v>
      </c>
      <c r="U68" s="10">
        <v>32.5</v>
      </c>
      <c r="V68" s="7">
        <v>5</v>
      </c>
      <c r="W68" s="7">
        <v>0</v>
      </c>
      <c r="X68" s="7">
        <v>5</v>
      </c>
      <c r="Y68" s="7">
        <v>2.5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10">
        <v>12.5</v>
      </c>
      <c r="AF68" s="7">
        <v>5</v>
      </c>
      <c r="AG68" s="7">
        <v>0</v>
      </c>
      <c r="AH68" s="7">
        <v>5</v>
      </c>
      <c r="AI68" s="7">
        <v>0</v>
      </c>
      <c r="AJ68" s="7">
        <v>0</v>
      </c>
      <c r="AK68" s="7">
        <v>0</v>
      </c>
      <c r="AL68" s="7">
        <v>0</v>
      </c>
      <c r="AM68" s="10">
        <v>10</v>
      </c>
      <c r="AN68" s="10"/>
      <c r="AO68">
        <f t="shared" ref="AO68" si="270">SUM(D68:D69)</f>
        <v>10</v>
      </c>
      <c r="AP68">
        <f t="shared" ref="AP68" si="271">SUM(E68:E69)</f>
        <v>12.5</v>
      </c>
      <c r="AQ68">
        <f t="shared" ref="AQ68" si="272">SUM(F68:F69)</f>
        <v>2.5</v>
      </c>
      <c r="AR68">
        <f t="shared" ref="AR68" si="273">SUM(G68:G69)</f>
        <v>2.5</v>
      </c>
      <c r="AS68">
        <f t="shared" ref="AS68" si="274">SUM(H68:H69)</f>
        <v>2.5</v>
      </c>
      <c r="AT68">
        <f t="shared" ref="AT68" si="275">SUM(I68:I69)</f>
        <v>2.5</v>
      </c>
      <c r="AU68">
        <f t="shared" ref="AU68" si="276">SUM(J68:J69)</f>
        <v>10</v>
      </c>
      <c r="AV68">
        <f t="shared" ref="AV68" si="277">SUM(K68:K69)</f>
        <v>2.5</v>
      </c>
      <c r="AW68">
        <f t="shared" ref="AW68" si="278">SUM(L68:L69)</f>
        <v>9.8000000000000007</v>
      </c>
      <c r="AX68">
        <f t="shared" ref="AX68" si="279">SUM(M68:M69)</f>
        <v>10</v>
      </c>
      <c r="AY68">
        <f t="shared" ref="AY68" si="280">SUM(N68:N69)</f>
        <v>5</v>
      </c>
      <c r="AZ68">
        <f t="shared" ref="AZ68" si="281">SUM(O68:O69)</f>
        <v>2.5</v>
      </c>
      <c r="BA68">
        <f t="shared" ref="BA68" si="282">SUM(P68:P69)</f>
        <v>5</v>
      </c>
      <c r="BB68">
        <f t="shared" ref="BB68" si="283">SUM(Q68:Q69)</f>
        <v>10</v>
      </c>
      <c r="BC68">
        <f t="shared" ref="BC68" si="284">SUM(R68:R69)</f>
        <v>10</v>
      </c>
      <c r="BD68">
        <f t="shared" ref="BD68" si="285">SUM(S68:S69)</f>
        <v>0</v>
      </c>
      <c r="BE68">
        <f t="shared" ref="BE68" si="286">SUM(T68:T69)</f>
        <v>5</v>
      </c>
      <c r="BF68">
        <f t="shared" ref="BF68" si="287">SUM(V68:V69)</f>
        <v>10</v>
      </c>
      <c r="BG68">
        <f t="shared" ref="BG68" si="288">SUM(W68:W69)</f>
        <v>5</v>
      </c>
      <c r="BH68">
        <f t="shared" ref="BH68" si="289">SUM(X68:X69)</f>
        <v>5</v>
      </c>
      <c r="BI68">
        <f t="shared" ref="BI68" si="290">SUM(Y68:Y69)</f>
        <v>5</v>
      </c>
      <c r="BJ68">
        <f t="shared" ref="BJ68" si="291">SUM(Z68:Z69)</f>
        <v>5</v>
      </c>
      <c r="BK68">
        <f t="shared" ref="BK68" si="292">SUM(AA68:AA69)</f>
        <v>2.5</v>
      </c>
      <c r="BL68">
        <f t="shared" ref="BL68" si="293">SUM(AB68:AB69)</f>
        <v>2.5</v>
      </c>
      <c r="BM68">
        <f t="shared" ref="BM68" si="294">SUM(AC68:AC69)</f>
        <v>2.5</v>
      </c>
      <c r="BN68">
        <f t="shared" ref="BN68" si="295">SUM(AD68:AD69)</f>
        <v>2.5</v>
      </c>
      <c r="BO68">
        <f t="shared" ref="BO68" si="296">SUM(AF68:AF69)</f>
        <v>10</v>
      </c>
      <c r="BP68">
        <f t="shared" ref="BP68" si="297">SUM(AG68:AG69)</f>
        <v>5</v>
      </c>
      <c r="BQ68">
        <f t="shared" ref="BQ68" si="298">SUM(AH68:AH69)</f>
        <v>10</v>
      </c>
      <c r="BR68">
        <f t="shared" ref="BR68" si="299">SUM(AI68:AI69)</f>
        <v>2.5</v>
      </c>
      <c r="BS68">
        <f t="shared" ref="BS68" si="300">SUM(AJ68:AJ69)</f>
        <v>5</v>
      </c>
      <c r="BT68">
        <f t="shared" ref="BT68" si="301">SUM(AK68:AK69)</f>
        <v>0</v>
      </c>
      <c r="BU68">
        <f t="shared" ref="BU68" si="302">SUM(AL68:AL69)</f>
        <v>0</v>
      </c>
    </row>
    <row r="69" spans="2:73">
      <c r="B69" s="110"/>
      <c r="C69" s="9" t="s">
        <v>69</v>
      </c>
      <c r="D69" s="7">
        <v>10</v>
      </c>
      <c r="E69" s="7">
        <v>12.5</v>
      </c>
      <c r="F69" s="7">
        <v>2.5</v>
      </c>
      <c r="G69" s="7">
        <v>2.5</v>
      </c>
      <c r="H69" s="7">
        <v>2.5</v>
      </c>
      <c r="I69" s="7">
        <v>2.5</v>
      </c>
      <c r="J69" s="7">
        <v>10</v>
      </c>
      <c r="K69" s="7">
        <v>2.5</v>
      </c>
      <c r="L69" s="7">
        <v>9.8000000000000007</v>
      </c>
      <c r="M69" s="7">
        <v>5</v>
      </c>
      <c r="N69" s="7">
        <v>5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5</v>
      </c>
      <c r="U69" s="10">
        <v>69.8</v>
      </c>
      <c r="V69" s="7">
        <v>5</v>
      </c>
      <c r="W69" s="7">
        <v>5</v>
      </c>
      <c r="X69" s="7">
        <v>0</v>
      </c>
      <c r="Y69" s="7">
        <v>2.5</v>
      </c>
      <c r="Z69" s="7">
        <v>5</v>
      </c>
      <c r="AA69" s="7">
        <v>2.5</v>
      </c>
      <c r="AB69" s="7">
        <v>2.5</v>
      </c>
      <c r="AC69" s="7">
        <v>2.5</v>
      </c>
      <c r="AD69" s="7">
        <v>2.5</v>
      </c>
      <c r="AE69" s="10">
        <v>27.5</v>
      </c>
      <c r="AF69" s="7">
        <v>5</v>
      </c>
      <c r="AG69" s="7">
        <v>5</v>
      </c>
      <c r="AH69" s="7">
        <v>5</v>
      </c>
      <c r="AI69" s="7">
        <v>2.5</v>
      </c>
      <c r="AJ69" s="7">
        <v>5</v>
      </c>
      <c r="AK69" s="7">
        <v>0</v>
      </c>
      <c r="AL69" s="7">
        <v>0</v>
      </c>
      <c r="AM69" s="10">
        <v>22.5</v>
      </c>
      <c r="AN69" s="10"/>
    </row>
    <row r="70" spans="2:73">
      <c r="B70" s="10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0"/>
      <c r="V70" s="7"/>
      <c r="W70" s="7"/>
      <c r="X70" s="7"/>
      <c r="Y70" s="7"/>
      <c r="Z70" s="7"/>
      <c r="AA70" s="7"/>
      <c r="AB70" s="7"/>
      <c r="AC70" s="7"/>
      <c r="AD70" s="7"/>
      <c r="AE70" s="10"/>
      <c r="AF70" s="7"/>
      <c r="AG70" s="7"/>
      <c r="AH70" s="7"/>
      <c r="AI70" s="7"/>
      <c r="AJ70" s="7"/>
      <c r="AK70" s="7"/>
      <c r="AL70" s="7"/>
      <c r="AM70" s="7"/>
      <c r="AN70" s="10"/>
    </row>
    <row r="71" spans="2:73">
      <c r="B71" s="110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0"/>
      <c r="V71" s="7"/>
      <c r="W71" s="7"/>
      <c r="X71" s="7"/>
      <c r="Y71" s="7"/>
      <c r="Z71" s="7"/>
      <c r="AA71" s="7"/>
      <c r="AB71" s="7"/>
      <c r="AC71" s="7"/>
      <c r="AD71" s="7"/>
      <c r="AE71" s="10"/>
      <c r="AF71" s="7"/>
      <c r="AG71" s="7"/>
      <c r="AH71" s="7"/>
      <c r="AI71" s="7"/>
      <c r="AJ71" s="7"/>
      <c r="AK71" s="7"/>
      <c r="AL71" s="7"/>
      <c r="AM71" s="7"/>
      <c r="AN71" s="10"/>
    </row>
    <row r="72" spans="2:73">
      <c r="B72" s="10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10"/>
      <c r="V72" s="7"/>
      <c r="W72" s="7"/>
      <c r="X72" s="7"/>
      <c r="Y72" s="7"/>
      <c r="Z72" s="7"/>
      <c r="AA72" s="7"/>
      <c r="AB72" s="7"/>
      <c r="AC72" s="7"/>
      <c r="AD72" s="7"/>
      <c r="AE72" s="10"/>
      <c r="AF72" s="7"/>
      <c r="AG72" s="7"/>
      <c r="AH72" s="7"/>
      <c r="AI72" s="7"/>
      <c r="AJ72" s="7"/>
      <c r="AK72" s="7"/>
      <c r="AL72" s="7"/>
      <c r="AM72" s="7"/>
      <c r="AN72" s="10"/>
    </row>
    <row r="73" spans="2:73">
      <c r="B73" s="110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10"/>
      <c r="V73" s="7"/>
      <c r="W73" s="7"/>
      <c r="X73" s="7"/>
      <c r="Y73" s="7"/>
      <c r="Z73" s="7"/>
      <c r="AA73" s="7"/>
      <c r="AB73" s="7"/>
      <c r="AC73" s="7"/>
      <c r="AD73" s="7"/>
      <c r="AE73" s="10"/>
      <c r="AF73" s="7"/>
      <c r="AG73" s="7"/>
      <c r="AH73" s="7"/>
      <c r="AI73" s="7"/>
      <c r="AJ73" s="7"/>
      <c r="AK73" s="7"/>
      <c r="AL73" s="7"/>
      <c r="AM73" s="7"/>
      <c r="AN73" s="10"/>
    </row>
    <row r="74" spans="2:73">
      <c r="B74" s="10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10"/>
      <c r="V74" s="7"/>
      <c r="W74" s="7"/>
      <c r="X74" s="7"/>
      <c r="Y74" s="7"/>
      <c r="Z74" s="7"/>
      <c r="AA74" s="7"/>
      <c r="AB74" s="7"/>
      <c r="AC74" s="7"/>
      <c r="AD74" s="7"/>
      <c r="AE74" s="10"/>
      <c r="AF74" s="7"/>
      <c r="AG74" s="7"/>
      <c r="AH74" s="7"/>
      <c r="AI74" s="7"/>
      <c r="AJ74" s="7"/>
      <c r="AK74" s="7"/>
      <c r="AL74" s="7"/>
      <c r="AM74" s="7"/>
      <c r="AN74" s="10"/>
    </row>
    <row r="75" spans="2:73">
      <c r="B75" s="110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10"/>
      <c r="V75" s="7"/>
      <c r="W75" s="7"/>
      <c r="X75" s="7"/>
      <c r="Y75" s="7"/>
      <c r="Z75" s="7"/>
      <c r="AA75" s="7"/>
      <c r="AB75" s="7"/>
      <c r="AC75" s="7"/>
      <c r="AD75" s="7"/>
      <c r="AE75" s="10"/>
      <c r="AF75" s="7"/>
      <c r="AG75" s="7"/>
      <c r="AH75" s="7"/>
      <c r="AI75" s="7"/>
      <c r="AJ75" s="7"/>
      <c r="AK75" s="7"/>
      <c r="AL75" s="7"/>
      <c r="AM75" s="7"/>
      <c r="AN75" s="10"/>
    </row>
    <row r="76" spans="2:73">
      <c r="B76" s="10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10"/>
      <c r="V76" s="7"/>
      <c r="W76" s="7"/>
      <c r="X76" s="7"/>
      <c r="Y76" s="7"/>
      <c r="Z76" s="7"/>
      <c r="AA76" s="7"/>
      <c r="AB76" s="7"/>
      <c r="AC76" s="7"/>
      <c r="AD76" s="7"/>
      <c r="AE76" s="10"/>
      <c r="AF76" s="7"/>
      <c r="AG76" s="7"/>
      <c r="AH76" s="7"/>
      <c r="AI76" s="7"/>
      <c r="AJ76" s="7"/>
      <c r="AK76" s="7"/>
      <c r="AL76" s="7"/>
      <c r="AM76" s="7"/>
      <c r="AN76" s="10"/>
    </row>
    <row r="77" spans="2:73">
      <c r="B77" s="110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10"/>
      <c r="V77" s="7"/>
      <c r="W77" s="7"/>
      <c r="X77" s="7"/>
      <c r="Y77" s="7"/>
      <c r="Z77" s="7"/>
      <c r="AA77" s="7"/>
      <c r="AB77" s="7"/>
      <c r="AC77" s="7"/>
      <c r="AD77" s="7"/>
      <c r="AE77" s="10"/>
      <c r="AF77" s="7"/>
      <c r="AG77" s="7"/>
      <c r="AH77" s="7"/>
      <c r="AI77" s="7"/>
      <c r="AJ77" s="7"/>
      <c r="AK77" s="7"/>
      <c r="AL77" s="7"/>
      <c r="AM77" s="7"/>
      <c r="AN77" s="10"/>
    </row>
    <row r="78" spans="2:73">
      <c r="B78" s="10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10"/>
      <c r="V78" s="7"/>
      <c r="W78" s="7"/>
      <c r="X78" s="7"/>
      <c r="Y78" s="7"/>
      <c r="Z78" s="7"/>
      <c r="AA78" s="7"/>
      <c r="AB78" s="7"/>
      <c r="AC78" s="7"/>
      <c r="AD78" s="7"/>
      <c r="AE78" s="10"/>
      <c r="AF78" s="7"/>
      <c r="AG78" s="7"/>
      <c r="AH78" s="7"/>
      <c r="AI78" s="7"/>
      <c r="AJ78" s="7"/>
      <c r="AK78" s="7"/>
      <c r="AL78" s="7"/>
      <c r="AM78" s="7"/>
      <c r="AN78" s="10"/>
    </row>
    <row r="79" spans="2:73">
      <c r="B79" s="110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10"/>
      <c r="V79" s="7"/>
      <c r="W79" s="7"/>
      <c r="X79" s="7"/>
      <c r="Y79" s="7"/>
      <c r="Z79" s="7"/>
      <c r="AA79" s="7"/>
      <c r="AB79" s="7"/>
      <c r="AC79" s="7"/>
      <c r="AD79" s="7"/>
      <c r="AE79" s="10"/>
      <c r="AF79" s="7"/>
      <c r="AG79" s="7"/>
      <c r="AH79" s="7"/>
      <c r="AI79" s="7"/>
      <c r="AJ79" s="7"/>
      <c r="AK79" s="7"/>
      <c r="AL79" s="7"/>
      <c r="AM79" s="7"/>
      <c r="AN79" s="10"/>
    </row>
    <row r="80" spans="2:73">
      <c r="B80" s="10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10"/>
      <c r="V80" s="7"/>
      <c r="W80" s="7"/>
      <c r="X80" s="7"/>
      <c r="Y80" s="7"/>
      <c r="Z80" s="7"/>
      <c r="AA80" s="7"/>
      <c r="AB80" s="7"/>
      <c r="AC80" s="7"/>
      <c r="AD80" s="7"/>
      <c r="AE80" s="10"/>
      <c r="AF80" s="7"/>
      <c r="AG80" s="7"/>
      <c r="AH80" s="7"/>
      <c r="AI80" s="7"/>
      <c r="AJ80" s="7"/>
      <c r="AK80" s="7"/>
      <c r="AL80" s="7"/>
      <c r="AM80" s="7"/>
      <c r="AN80" s="10"/>
    </row>
    <row r="81" spans="2:40">
      <c r="B81" s="110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10"/>
      <c r="V81" s="7"/>
      <c r="W81" s="7"/>
      <c r="X81" s="7"/>
      <c r="Y81" s="7"/>
      <c r="Z81" s="7"/>
      <c r="AA81" s="7"/>
      <c r="AB81" s="7"/>
      <c r="AC81" s="7"/>
      <c r="AD81" s="7"/>
      <c r="AE81" s="10"/>
      <c r="AF81" s="7"/>
      <c r="AG81" s="7"/>
      <c r="AH81" s="7"/>
      <c r="AI81" s="7"/>
      <c r="AJ81" s="7"/>
      <c r="AK81" s="7"/>
      <c r="AL81" s="7"/>
      <c r="AM81" s="7"/>
      <c r="AN81" s="10"/>
    </row>
    <row r="82" spans="2:40">
      <c r="B82" s="10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10"/>
      <c r="V82" s="7"/>
      <c r="W82" s="7"/>
      <c r="X82" s="7"/>
      <c r="Y82" s="7"/>
      <c r="Z82" s="7"/>
      <c r="AA82" s="7"/>
      <c r="AB82" s="7"/>
      <c r="AC82" s="7"/>
      <c r="AD82" s="7"/>
      <c r="AE82" s="10"/>
      <c r="AF82" s="7"/>
      <c r="AG82" s="7"/>
      <c r="AH82" s="7"/>
      <c r="AI82" s="7"/>
      <c r="AJ82" s="7"/>
      <c r="AK82" s="7"/>
      <c r="AL82" s="7"/>
      <c r="AM82" s="7"/>
      <c r="AN82" s="10"/>
    </row>
    <row r="83" spans="2:40">
      <c r="B83" s="110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10"/>
      <c r="V83" s="7"/>
      <c r="W83" s="7"/>
      <c r="X83" s="7"/>
      <c r="Y83" s="7"/>
      <c r="Z83" s="7"/>
      <c r="AA83" s="7"/>
      <c r="AB83" s="7"/>
      <c r="AC83" s="7"/>
      <c r="AD83" s="7"/>
      <c r="AE83" s="10"/>
      <c r="AF83" s="7"/>
      <c r="AG83" s="7"/>
      <c r="AH83" s="7"/>
      <c r="AI83" s="7"/>
      <c r="AJ83" s="7"/>
      <c r="AK83" s="7"/>
      <c r="AL83" s="7"/>
      <c r="AM83" s="7"/>
      <c r="AN83" s="10"/>
    </row>
    <row r="84" spans="2:40">
      <c r="B84" s="10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10"/>
      <c r="V84" s="7"/>
      <c r="W84" s="7"/>
      <c r="X84" s="7"/>
      <c r="Y84" s="7"/>
      <c r="Z84" s="7"/>
      <c r="AA84" s="7"/>
      <c r="AB84" s="7"/>
      <c r="AC84" s="7"/>
      <c r="AD84" s="7"/>
      <c r="AE84" s="10"/>
      <c r="AF84" s="7"/>
      <c r="AG84" s="7"/>
      <c r="AH84" s="7"/>
      <c r="AI84" s="7"/>
      <c r="AJ84" s="7"/>
      <c r="AK84" s="7"/>
      <c r="AL84" s="7"/>
      <c r="AM84" s="7"/>
      <c r="AN84" s="10"/>
    </row>
    <row r="85" spans="2:40">
      <c r="B85" s="110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10"/>
      <c r="V85" s="7"/>
      <c r="W85" s="7"/>
      <c r="X85" s="7"/>
      <c r="Y85" s="7"/>
      <c r="Z85" s="7"/>
      <c r="AA85" s="7"/>
      <c r="AB85" s="7"/>
      <c r="AC85" s="7"/>
      <c r="AD85" s="7"/>
      <c r="AE85" s="10"/>
      <c r="AF85" s="7"/>
      <c r="AG85" s="7"/>
      <c r="AH85" s="7"/>
      <c r="AI85" s="7"/>
      <c r="AJ85" s="7"/>
      <c r="AK85" s="7"/>
      <c r="AL85" s="7"/>
      <c r="AM85" s="7"/>
      <c r="AN85" s="10"/>
    </row>
    <row r="86" spans="2:40">
      <c r="B86" s="10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10"/>
      <c r="V86" s="7"/>
      <c r="W86" s="7"/>
      <c r="X86" s="7"/>
      <c r="Y86" s="7"/>
      <c r="Z86" s="7"/>
      <c r="AA86" s="7"/>
      <c r="AB86" s="7"/>
      <c r="AC86" s="7"/>
      <c r="AD86" s="7"/>
      <c r="AE86" s="10"/>
      <c r="AF86" s="7"/>
      <c r="AG86" s="7"/>
      <c r="AH86" s="7"/>
      <c r="AI86" s="7"/>
      <c r="AJ86" s="7"/>
      <c r="AK86" s="7"/>
      <c r="AL86" s="7"/>
      <c r="AM86" s="7"/>
      <c r="AN86" s="10"/>
    </row>
    <row r="87" spans="2:40">
      <c r="B87" s="110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10"/>
      <c r="V87" s="7"/>
      <c r="W87" s="7"/>
      <c r="X87" s="7"/>
      <c r="Y87" s="7"/>
      <c r="Z87" s="7"/>
      <c r="AA87" s="7"/>
      <c r="AB87" s="7"/>
      <c r="AC87" s="7"/>
      <c r="AD87" s="7"/>
      <c r="AE87" s="10"/>
      <c r="AF87" s="7"/>
      <c r="AG87" s="7"/>
      <c r="AH87" s="7"/>
      <c r="AI87" s="7"/>
      <c r="AJ87" s="7"/>
      <c r="AK87" s="7"/>
      <c r="AL87" s="7"/>
      <c r="AM87" s="7"/>
      <c r="AN87" s="10"/>
    </row>
    <row r="88" spans="2:40">
      <c r="B88" s="10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10"/>
      <c r="V88" s="7"/>
      <c r="W88" s="7"/>
      <c r="X88" s="7"/>
      <c r="Y88" s="7"/>
      <c r="Z88" s="7"/>
      <c r="AA88" s="7"/>
      <c r="AB88" s="7"/>
      <c r="AC88" s="7"/>
      <c r="AD88" s="7"/>
      <c r="AE88" s="10"/>
      <c r="AF88" s="7"/>
      <c r="AG88" s="7"/>
      <c r="AH88" s="7"/>
      <c r="AI88" s="7"/>
      <c r="AJ88" s="7"/>
      <c r="AK88" s="7"/>
      <c r="AL88" s="7"/>
      <c r="AM88" s="7"/>
      <c r="AN88" s="10"/>
    </row>
    <row r="89" spans="2:40">
      <c r="B89" s="110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10"/>
      <c r="V89" s="7"/>
      <c r="W89" s="7"/>
      <c r="X89" s="7"/>
      <c r="Y89" s="7"/>
      <c r="Z89" s="7"/>
      <c r="AA89" s="7"/>
      <c r="AB89" s="7"/>
      <c r="AC89" s="7"/>
      <c r="AD89" s="7"/>
      <c r="AE89" s="10"/>
      <c r="AF89" s="7"/>
      <c r="AG89" s="7"/>
      <c r="AH89" s="7"/>
      <c r="AI89" s="7"/>
      <c r="AJ89" s="7"/>
      <c r="AK89" s="7"/>
      <c r="AL89" s="7"/>
      <c r="AM89" s="7"/>
      <c r="AN89" s="10"/>
    </row>
    <row r="90" spans="2:40">
      <c r="B90" s="10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10"/>
      <c r="V90" s="7"/>
      <c r="W90" s="7"/>
      <c r="X90" s="7"/>
      <c r="Y90" s="7"/>
      <c r="Z90" s="7"/>
      <c r="AA90" s="7"/>
      <c r="AB90" s="7"/>
      <c r="AC90" s="7"/>
      <c r="AD90" s="7"/>
      <c r="AE90" s="10"/>
      <c r="AF90" s="7"/>
      <c r="AG90" s="7"/>
      <c r="AH90" s="7"/>
      <c r="AI90" s="7"/>
      <c r="AJ90" s="7"/>
      <c r="AK90" s="7"/>
      <c r="AL90" s="7"/>
      <c r="AM90" s="7"/>
      <c r="AN90" s="10"/>
    </row>
    <row r="91" spans="2:40">
      <c r="B91" s="110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10"/>
      <c r="V91" s="7"/>
      <c r="W91" s="7"/>
      <c r="X91" s="7"/>
      <c r="Y91" s="7"/>
      <c r="Z91" s="7"/>
      <c r="AA91" s="7"/>
      <c r="AB91" s="7"/>
      <c r="AC91" s="7"/>
      <c r="AD91" s="7"/>
      <c r="AE91" s="10"/>
      <c r="AF91" s="7"/>
      <c r="AG91" s="7"/>
      <c r="AH91" s="7"/>
      <c r="AI91" s="7"/>
      <c r="AJ91" s="7"/>
      <c r="AK91" s="7"/>
      <c r="AL91" s="7"/>
      <c r="AM91" s="7"/>
      <c r="AN91" s="10"/>
    </row>
    <row r="92" spans="2:40">
      <c r="B92" s="10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10"/>
      <c r="V92" s="7"/>
      <c r="W92" s="7"/>
      <c r="X92" s="7"/>
      <c r="Y92" s="7"/>
      <c r="Z92" s="7"/>
      <c r="AA92" s="7"/>
      <c r="AB92" s="7"/>
      <c r="AC92" s="7"/>
      <c r="AD92" s="7"/>
      <c r="AE92" s="10"/>
      <c r="AF92" s="7"/>
      <c r="AG92" s="7"/>
      <c r="AH92" s="7"/>
      <c r="AI92" s="7"/>
      <c r="AJ92" s="7"/>
      <c r="AK92" s="7"/>
      <c r="AL92" s="7"/>
      <c r="AM92" s="7"/>
      <c r="AN92" s="10"/>
    </row>
    <row r="93" spans="2:40">
      <c r="B93" s="110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10"/>
      <c r="V93" s="7"/>
      <c r="W93" s="7"/>
      <c r="X93" s="7"/>
      <c r="Y93" s="7"/>
      <c r="Z93" s="7"/>
      <c r="AA93" s="7"/>
      <c r="AB93" s="7"/>
      <c r="AC93" s="7"/>
      <c r="AD93" s="7"/>
      <c r="AE93" s="10"/>
      <c r="AF93" s="7"/>
      <c r="AG93" s="7"/>
      <c r="AH93" s="7"/>
      <c r="AI93" s="7"/>
      <c r="AJ93" s="7"/>
      <c r="AK93" s="7"/>
      <c r="AL93" s="7"/>
      <c r="AM93" s="7"/>
      <c r="AN93" s="10"/>
    </row>
    <row r="94" spans="2:40">
      <c r="B94" s="10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10"/>
      <c r="V94" s="7"/>
      <c r="W94" s="7"/>
      <c r="X94" s="7"/>
      <c r="Y94" s="7"/>
      <c r="Z94" s="7"/>
      <c r="AA94" s="7"/>
      <c r="AB94" s="7"/>
      <c r="AC94" s="7"/>
      <c r="AD94" s="7"/>
      <c r="AE94" s="10"/>
      <c r="AF94" s="7"/>
      <c r="AG94" s="7"/>
      <c r="AH94" s="7"/>
      <c r="AI94" s="7"/>
      <c r="AJ94" s="7"/>
      <c r="AK94" s="7"/>
      <c r="AL94" s="7"/>
      <c r="AM94" s="7"/>
      <c r="AN94" s="10"/>
    </row>
    <row r="95" spans="2:40">
      <c r="B95" s="110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10"/>
      <c r="V95" s="7"/>
      <c r="W95" s="7"/>
      <c r="X95" s="7"/>
      <c r="Y95" s="7"/>
      <c r="Z95" s="7"/>
      <c r="AA95" s="7"/>
      <c r="AB95" s="7"/>
      <c r="AC95" s="7"/>
      <c r="AD95" s="7"/>
      <c r="AE95" s="10"/>
      <c r="AF95" s="7"/>
      <c r="AG95" s="7"/>
      <c r="AH95" s="7"/>
      <c r="AI95" s="7"/>
      <c r="AJ95" s="7"/>
      <c r="AK95" s="7"/>
      <c r="AL95" s="7"/>
      <c r="AM95" s="7"/>
      <c r="AN95" s="10"/>
    </row>
    <row r="96" spans="2:40">
      <c r="B96" s="10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10"/>
      <c r="V96" s="7"/>
      <c r="W96" s="7"/>
      <c r="X96" s="7"/>
      <c r="Y96" s="7"/>
      <c r="Z96" s="7"/>
      <c r="AA96" s="7"/>
      <c r="AB96" s="7"/>
      <c r="AC96" s="7"/>
      <c r="AD96" s="7"/>
      <c r="AE96" s="10"/>
      <c r="AF96" s="7"/>
      <c r="AG96" s="7"/>
      <c r="AH96" s="7"/>
      <c r="AI96" s="7"/>
      <c r="AJ96" s="7"/>
      <c r="AK96" s="7"/>
      <c r="AL96" s="7"/>
      <c r="AM96" s="7"/>
      <c r="AN96" s="10"/>
    </row>
    <row r="97" spans="2:40">
      <c r="B97" s="110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10"/>
      <c r="V97" s="7"/>
      <c r="W97" s="7"/>
      <c r="X97" s="7"/>
      <c r="Y97" s="7"/>
      <c r="Z97" s="7"/>
      <c r="AA97" s="7"/>
      <c r="AB97" s="7"/>
      <c r="AC97" s="7"/>
      <c r="AD97" s="7"/>
      <c r="AE97" s="10"/>
      <c r="AF97" s="7"/>
      <c r="AG97" s="7"/>
      <c r="AH97" s="7"/>
      <c r="AI97" s="7"/>
      <c r="AJ97" s="7"/>
      <c r="AK97" s="7"/>
      <c r="AL97" s="7"/>
      <c r="AM97" s="7"/>
      <c r="AN97" s="10"/>
    </row>
    <row r="98" spans="2:40">
      <c r="B98" s="10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10"/>
      <c r="V98" s="7"/>
      <c r="W98" s="7"/>
      <c r="X98" s="7"/>
      <c r="Y98" s="7"/>
      <c r="Z98" s="7"/>
      <c r="AA98" s="7"/>
      <c r="AB98" s="7"/>
      <c r="AC98" s="7"/>
      <c r="AD98" s="7"/>
      <c r="AE98" s="10"/>
      <c r="AF98" s="7"/>
      <c r="AG98" s="7"/>
      <c r="AH98" s="7"/>
      <c r="AI98" s="7"/>
      <c r="AJ98" s="7"/>
      <c r="AK98" s="7"/>
      <c r="AL98" s="7"/>
      <c r="AM98" s="7"/>
      <c r="AN98" s="10"/>
    </row>
    <row r="99" spans="2:40">
      <c r="B99" s="110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10"/>
      <c r="V99" s="7"/>
      <c r="W99" s="7"/>
      <c r="X99" s="7"/>
      <c r="Y99" s="7"/>
      <c r="Z99" s="7"/>
      <c r="AA99" s="7"/>
      <c r="AB99" s="7"/>
      <c r="AC99" s="7"/>
      <c r="AD99" s="7"/>
      <c r="AE99" s="10"/>
      <c r="AF99" s="7"/>
      <c r="AG99" s="7"/>
      <c r="AH99" s="7"/>
      <c r="AI99" s="7"/>
      <c r="AJ99" s="7"/>
      <c r="AK99" s="7"/>
      <c r="AL99" s="7"/>
      <c r="AM99" s="7"/>
      <c r="AN99" s="10"/>
    </row>
    <row r="100" spans="2:40">
      <c r="B100" s="10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10"/>
      <c r="V100" s="7"/>
      <c r="W100" s="7"/>
      <c r="X100" s="7"/>
      <c r="Y100" s="7"/>
      <c r="Z100" s="7"/>
      <c r="AA100" s="7"/>
      <c r="AB100" s="7"/>
      <c r="AC100" s="7"/>
      <c r="AD100" s="7"/>
      <c r="AE100" s="10"/>
      <c r="AF100" s="7"/>
      <c r="AG100" s="7"/>
      <c r="AH100" s="7"/>
      <c r="AI100" s="7"/>
      <c r="AJ100" s="7"/>
      <c r="AK100" s="7"/>
      <c r="AL100" s="7"/>
      <c r="AM100" s="7"/>
      <c r="AN100" s="10"/>
    </row>
    <row r="101" spans="2:40">
      <c r="B101" s="110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10"/>
      <c r="V101" s="7"/>
      <c r="W101" s="7"/>
      <c r="X101" s="7"/>
      <c r="Y101" s="7"/>
      <c r="Z101" s="7"/>
      <c r="AA101" s="7"/>
      <c r="AB101" s="7"/>
      <c r="AC101" s="7"/>
      <c r="AD101" s="7"/>
      <c r="AE101" s="10"/>
      <c r="AF101" s="7"/>
      <c r="AG101" s="7"/>
      <c r="AH101" s="7"/>
      <c r="AI101" s="7"/>
      <c r="AJ101" s="7"/>
      <c r="AK101" s="7"/>
      <c r="AL101" s="7"/>
      <c r="AM101" s="7"/>
      <c r="AN101" s="10"/>
    </row>
    <row r="102" spans="2:40">
      <c r="B102" s="10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10"/>
      <c r="V102" s="7"/>
      <c r="W102" s="7"/>
      <c r="X102" s="7"/>
      <c r="Y102" s="7"/>
      <c r="Z102" s="7"/>
      <c r="AA102" s="7"/>
      <c r="AB102" s="7"/>
      <c r="AC102" s="7"/>
      <c r="AD102" s="7"/>
      <c r="AE102" s="10"/>
      <c r="AF102" s="7"/>
      <c r="AG102" s="7"/>
      <c r="AH102" s="7"/>
      <c r="AI102" s="7"/>
      <c r="AJ102" s="7"/>
      <c r="AK102" s="7"/>
      <c r="AL102" s="7"/>
      <c r="AM102" s="7"/>
      <c r="AN102" s="10"/>
    </row>
    <row r="103" spans="2:40">
      <c r="B103" s="110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10"/>
      <c r="V103" s="7"/>
      <c r="W103" s="7"/>
      <c r="X103" s="7"/>
      <c r="Y103" s="7"/>
      <c r="Z103" s="7"/>
      <c r="AA103" s="7"/>
      <c r="AB103" s="7"/>
      <c r="AC103" s="7"/>
      <c r="AD103" s="7"/>
      <c r="AE103" s="10"/>
      <c r="AF103" s="7"/>
      <c r="AG103" s="7"/>
      <c r="AH103" s="7"/>
      <c r="AI103" s="7"/>
      <c r="AJ103" s="7"/>
      <c r="AK103" s="7"/>
      <c r="AL103" s="7"/>
      <c r="AM103" s="7"/>
      <c r="AN103" s="10"/>
    </row>
    <row r="104" spans="2:40">
      <c r="B104" s="10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10"/>
      <c r="V104" s="7"/>
      <c r="W104" s="7"/>
      <c r="X104" s="7"/>
      <c r="Y104" s="7"/>
      <c r="Z104" s="7"/>
      <c r="AA104" s="7"/>
      <c r="AB104" s="7"/>
      <c r="AC104" s="7"/>
      <c r="AD104" s="7"/>
      <c r="AE104" s="10"/>
      <c r="AF104" s="7"/>
      <c r="AG104" s="7"/>
      <c r="AH104" s="7"/>
      <c r="AI104" s="7"/>
      <c r="AJ104" s="7"/>
      <c r="AK104" s="7"/>
      <c r="AL104" s="7"/>
      <c r="AM104" s="7"/>
      <c r="AN104" s="10"/>
    </row>
    <row r="105" spans="2:40">
      <c r="B105" s="110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10"/>
      <c r="V105" s="7"/>
      <c r="W105" s="7"/>
      <c r="X105" s="7"/>
      <c r="Y105" s="7"/>
      <c r="Z105" s="7"/>
      <c r="AA105" s="7"/>
      <c r="AB105" s="7"/>
      <c r="AC105" s="7"/>
      <c r="AD105" s="7"/>
      <c r="AE105" s="10"/>
      <c r="AF105" s="7"/>
      <c r="AG105" s="7"/>
      <c r="AH105" s="7"/>
      <c r="AI105" s="7"/>
      <c r="AJ105" s="7"/>
      <c r="AK105" s="7"/>
      <c r="AL105" s="7"/>
      <c r="AM105" s="7"/>
      <c r="AN105" s="10"/>
    </row>
    <row r="106" spans="2:40">
      <c r="B106" s="10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10"/>
      <c r="V106" s="7"/>
      <c r="W106" s="7"/>
      <c r="X106" s="7"/>
      <c r="Y106" s="7"/>
      <c r="Z106" s="7"/>
      <c r="AA106" s="7"/>
      <c r="AB106" s="7"/>
      <c r="AC106" s="7"/>
      <c r="AD106" s="7"/>
      <c r="AE106" s="10"/>
      <c r="AF106" s="7"/>
      <c r="AG106" s="7"/>
      <c r="AH106" s="7"/>
      <c r="AI106" s="7"/>
      <c r="AJ106" s="7"/>
      <c r="AK106" s="7"/>
      <c r="AL106" s="7"/>
      <c r="AM106" s="7"/>
      <c r="AN106" s="10"/>
    </row>
    <row r="107" spans="2:40">
      <c r="B107" s="110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10"/>
      <c r="V107" s="7"/>
      <c r="W107" s="7"/>
      <c r="X107" s="7"/>
      <c r="Y107" s="7"/>
      <c r="Z107" s="7"/>
      <c r="AA107" s="7"/>
      <c r="AB107" s="7"/>
      <c r="AC107" s="7"/>
      <c r="AD107" s="7"/>
      <c r="AE107" s="10"/>
      <c r="AF107" s="7"/>
      <c r="AG107" s="7"/>
      <c r="AH107" s="7"/>
      <c r="AI107" s="7"/>
      <c r="AJ107" s="7"/>
      <c r="AK107" s="7"/>
      <c r="AL107" s="7"/>
      <c r="AM107" s="7"/>
      <c r="AN107" s="10"/>
    </row>
    <row r="108" spans="2:40">
      <c r="B108" s="10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10"/>
      <c r="V108" s="7"/>
      <c r="W108" s="7"/>
      <c r="X108" s="7"/>
      <c r="Y108" s="7"/>
      <c r="Z108" s="7"/>
      <c r="AA108" s="7"/>
      <c r="AB108" s="7"/>
      <c r="AC108" s="7"/>
      <c r="AD108" s="7"/>
      <c r="AE108" s="10"/>
      <c r="AF108" s="7"/>
      <c r="AG108" s="7"/>
      <c r="AH108" s="7"/>
      <c r="AI108" s="7"/>
      <c r="AJ108" s="7"/>
      <c r="AK108" s="7"/>
      <c r="AL108" s="7"/>
      <c r="AM108" s="7"/>
      <c r="AN108" s="10"/>
    </row>
    <row r="109" spans="2:40">
      <c r="B109" s="110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10"/>
      <c r="V109" s="7"/>
      <c r="W109" s="7"/>
      <c r="X109" s="7"/>
      <c r="Y109" s="7"/>
      <c r="Z109" s="7"/>
      <c r="AA109" s="7"/>
      <c r="AB109" s="7"/>
      <c r="AC109" s="7"/>
      <c r="AD109" s="7"/>
      <c r="AE109" s="10"/>
      <c r="AF109" s="7"/>
      <c r="AG109" s="7"/>
      <c r="AH109" s="7"/>
      <c r="AI109" s="7"/>
      <c r="AJ109" s="7"/>
      <c r="AK109" s="7"/>
      <c r="AL109" s="7"/>
      <c r="AM109" s="7"/>
      <c r="AN109" s="10"/>
    </row>
    <row r="110" spans="2:40">
      <c r="B110" s="10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10"/>
      <c r="V110" s="7"/>
      <c r="W110" s="7"/>
      <c r="X110" s="7"/>
      <c r="Y110" s="7"/>
      <c r="Z110" s="7"/>
      <c r="AA110" s="7"/>
      <c r="AB110" s="7"/>
      <c r="AC110" s="7"/>
      <c r="AD110" s="7"/>
      <c r="AE110" s="10"/>
      <c r="AF110" s="7"/>
      <c r="AG110" s="7"/>
      <c r="AH110" s="7"/>
      <c r="AI110" s="7"/>
      <c r="AJ110" s="7"/>
      <c r="AK110" s="7"/>
      <c r="AL110" s="7"/>
      <c r="AM110" s="7"/>
      <c r="AN110" s="10"/>
    </row>
    <row r="111" spans="2:40">
      <c r="B111" s="110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10"/>
      <c r="V111" s="7"/>
      <c r="W111" s="7"/>
      <c r="X111" s="7"/>
      <c r="Y111" s="7"/>
      <c r="Z111" s="7"/>
      <c r="AA111" s="7"/>
      <c r="AB111" s="7"/>
      <c r="AC111" s="7"/>
      <c r="AD111" s="7"/>
      <c r="AE111" s="10"/>
      <c r="AF111" s="7"/>
      <c r="AG111" s="7"/>
      <c r="AH111" s="7"/>
      <c r="AI111" s="7"/>
      <c r="AJ111" s="7"/>
      <c r="AK111" s="7"/>
      <c r="AL111" s="7"/>
      <c r="AM111" s="7"/>
      <c r="AN111" s="10"/>
    </row>
    <row r="112" spans="2:40">
      <c r="B112" s="10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10"/>
      <c r="V112" s="7"/>
      <c r="W112" s="7"/>
      <c r="X112" s="7"/>
      <c r="Y112" s="7"/>
      <c r="Z112" s="7"/>
      <c r="AA112" s="7"/>
      <c r="AB112" s="7"/>
      <c r="AC112" s="7"/>
      <c r="AD112" s="7"/>
      <c r="AE112" s="10"/>
      <c r="AF112" s="7"/>
      <c r="AG112" s="7"/>
      <c r="AH112" s="7"/>
      <c r="AI112" s="7"/>
      <c r="AJ112" s="7"/>
      <c r="AK112" s="7"/>
      <c r="AL112" s="7"/>
      <c r="AM112" s="7"/>
      <c r="AN112" s="10"/>
    </row>
    <row r="113" spans="2:40">
      <c r="B113" s="110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10"/>
      <c r="V113" s="7"/>
      <c r="W113" s="7"/>
      <c r="X113" s="7"/>
      <c r="Y113" s="7"/>
      <c r="Z113" s="7"/>
      <c r="AA113" s="7"/>
      <c r="AB113" s="7"/>
      <c r="AC113" s="7"/>
      <c r="AD113" s="7"/>
      <c r="AE113" s="10"/>
      <c r="AF113" s="7"/>
      <c r="AG113" s="7"/>
      <c r="AH113" s="7"/>
      <c r="AI113" s="7"/>
      <c r="AJ113" s="7"/>
      <c r="AK113" s="7"/>
      <c r="AL113" s="7"/>
      <c r="AM113" s="7"/>
      <c r="AN113" s="10"/>
    </row>
    <row r="114" spans="2:40">
      <c r="B114" s="10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10"/>
      <c r="V114" s="7"/>
      <c r="W114" s="7"/>
      <c r="X114" s="7"/>
      <c r="Y114" s="7"/>
      <c r="Z114" s="7"/>
      <c r="AA114" s="7"/>
      <c r="AB114" s="7"/>
      <c r="AC114" s="7"/>
      <c r="AD114" s="7"/>
      <c r="AE114" s="10"/>
      <c r="AF114" s="7"/>
      <c r="AG114" s="7"/>
      <c r="AH114" s="7"/>
      <c r="AI114" s="7"/>
      <c r="AJ114" s="7"/>
      <c r="AK114" s="7"/>
      <c r="AL114" s="7"/>
      <c r="AM114" s="7"/>
      <c r="AN114" s="10"/>
    </row>
    <row r="115" spans="2:40">
      <c r="B115" s="110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10"/>
      <c r="V115" s="7"/>
      <c r="W115" s="7"/>
      <c r="X115" s="7"/>
      <c r="Y115" s="7"/>
      <c r="Z115" s="7"/>
      <c r="AA115" s="7"/>
      <c r="AB115" s="7"/>
      <c r="AC115" s="7"/>
      <c r="AD115" s="7"/>
      <c r="AE115" s="10"/>
      <c r="AF115" s="7"/>
      <c r="AG115" s="7"/>
      <c r="AH115" s="7"/>
      <c r="AI115" s="7"/>
      <c r="AJ115" s="7"/>
      <c r="AK115" s="7"/>
      <c r="AL115" s="7"/>
      <c r="AM115" s="7"/>
      <c r="AN115" s="10"/>
    </row>
    <row r="116" spans="2:40">
      <c r="B116" s="10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10"/>
      <c r="V116" s="7"/>
      <c r="W116" s="7"/>
      <c r="X116" s="7"/>
      <c r="Y116" s="7"/>
      <c r="Z116" s="7"/>
      <c r="AA116" s="7"/>
      <c r="AB116" s="7"/>
      <c r="AC116" s="7"/>
      <c r="AD116" s="7"/>
      <c r="AE116" s="10"/>
      <c r="AF116" s="7"/>
      <c r="AG116" s="7"/>
      <c r="AH116" s="7"/>
      <c r="AI116" s="7"/>
      <c r="AJ116" s="7"/>
      <c r="AK116" s="7"/>
      <c r="AL116" s="7"/>
      <c r="AM116" s="7"/>
      <c r="AN116" s="10"/>
    </row>
    <row r="117" spans="2:40">
      <c r="B117" s="110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10"/>
      <c r="V117" s="7"/>
      <c r="W117" s="7"/>
      <c r="X117" s="7"/>
      <c r="Y117" s="7"/>
      <c r="Z117" s="7"/>
      <c r="AA117" s="7"/>
      <c r="AB117" s="7"/>
      <c r="AC117" s="7"/>
      <c r="AD117" s="7"/>
      <c r="AE117" s="10"/>
      <c r="AF117" s="7"/>
      <c r="AG117" s="7"/>
      <c r="AH117" s="7"/>
      <c r="AI117" s="7"/>
      <c r="AJ117" s="7"/>
      <c r="AK117" s="7"/>
      <c r="AL117" s="7"/>
      <c r="AM117" s="7"/>
      <c r="AN117" s="10"/>
    </row>
    <row r="118" spans="2:40">
      <c r="B118" s="10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10"/>
      <c r="V118" s="7"/>
      <c r="W118" s="7"/>
      <c r="X118" s="7"/>
      <c r="Y118" s="7"/>
      <c r="Z118" s="7"/>
      <c r="AA118" s="7"/>
      <c r="AB118" s="7"/>
      <c r="AC118" s="7"/>
      <c r="AD118" s="7"/>
      <c r="AE118" s="10"/>
      <c r="AF118" s="7"/>
      <c r="AG118" s="7"/>
      <c r="AH118" s="7"/>
      <c r="AI118" s="7"/>
      <c r="AJ118" s="7"/>
      <c r="AK118" s="7"/>
      <c r="AL118" s="7"/>
      <c r="AM118" s="7"/>
      <c r="AN118" s="10"/>
    </row>
    <row r="119" spans="2:40">
      <c r="B119" s="110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10"/>
      <c r="V119" s="7"/>
      <c r="W119" s="7"/>
      <c r="X119" s="7"/>
      <c r="Y119" s="7"/>
      <c r="Z119" s="7"/>
      <c r="AA119" s="7"/>
      <c r="AB119" s="7"/>
      <c r="AC119" s="7"/>
      <c r="AD119" s="7"/>
      <c r="AE119" s="10"/>
      <c r="AF119" s="7"/>
      <c r="AG119" s="7"/>
      <c r="AH119" s="7"/>
      <c r="AI119" s="7"/>
      <c r="AJ119" s="7"/>
      <c r="AK119" s="7"/>
      <c r="AL119" s="7"/>
      <c r="AM119" s="7"/>
      <c r="AN119" s="10"/>
    </row>
    <row r="120" spans="2:40">
      <c r="B120" s="10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10"/>
      <c r="V120" s="7"/>
      <c r="W120" s="7"/>
      <c r="X120" s="7"/>
      <c r="Y120" s="7"/>
      <c r="Z120" s="7"/>
      <c r="AA120" s="7"/>
      <c r="AB120" s="7"/>
      <c r="AC120" s="7"/>
      <c r="AD120" s="7"/>
      <c r="AE120" s="10"/>
      <c r="AF120" s="7"/>
      <c r="AG120" s="7"/>
      <c r="AH120" s="7"/>
      <c r="AI120" s="7"/>
      <c r="AJ120" s="7"/>
      <c r="AK120" s="7"/>
      <c r="AL120" s="7"/>
      <c r="AM120" s="7"/>
      <c r="AN120" s="10"/>
    </row>
    <row r="121" spans="2:40">
      <c r="B121" s="110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10"/>
      <c r="V121" s="7"/>
      <c r="W121" s="7"/>
      <c r="X121" s="7"/>
      <c r="Y121" s="7"/>
      <c r="Z121" s="7"/>
      <c r="AA121" s="7"/>
      <c r="AB121" s="7"/>
      <c r="AC121" s="7"/>
      <c r="AD121" s="7"/>
      <c r="AE121" s="10"/>
      <c r="AF121" s="7"/>
      <c r="AG121" s="7"/>
      <c r="AH121" s="7"/>
      <c r="AI121" s="7"/>
      <c r="AJ121" s="7"/>
      <c r="AK121" s="7"/>
      <c r="AL121" s="7"/>
      <c r="AM121" s="7"/>
      <c r="AN121" s="10"/>
    </row>
    <row r="122" spans="2:40">
      <c r="B122" s="10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10"/>
      <c r="V122" s="7"/>
      <c r="W122" s="7"/>
      <c r="X122" s="7"/>
      <c r="Y122" s="7"/>
      <c r="Z122" s="7"/>
      <c r="AA122" s="7"/>
      <c r="AB122" s="7"/>
      <c r="AC122" s="7"/>
      <c r="AD122" s="7"/>
      <c r="AE122" s="10"/>
      <c r="AF122" s="7"/>
      <c r="AG122" s="7"/>
      <c r="AH122" s="7"/>
      <c r="AI122" s="7"/>
      <c r="AJ122" s="7"/>
      <c r="AK122" s="7"/>
      <c r="AL122" s="7"/>
      <c r="AM122" s="7"/>
      <c r="AN122" s="10"/>
    </row>
    <row r="123" spans="2:40">
      <c r="B123" s="110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10"/>
      <c r="V123" s="7"/>
      <c r="W123" s="7"/>
      <c r="X123" s="7"/>
      <c r="Y123" s="7"/>
      <c r="Z123" s="7"/>
      <c r="AA123" s="7"/>
      <c r="AB123" s="7"/>
      <c r="AC123" s="7"/>
      <c r="AD123" s="7"/>
      <c r="AE123" s="10"/>
      <c r="AF123" s="7"/>
      <c r="AG123" s="7"/>
      <c r="AH123" s="7"/>
      <c r="AI123" s="7"/>
      <c r="AJ123" s="7"/>
      <c r="AK123" s="7"/>
      <c r="AL123" s="7"/>
      <c r="AM123" s="7"/>
      <c r="AN123" s="10"/>
    </row>
    <row r="124" spans="2:40">
      <c r="B124" s="10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10"/>
      <c r="V124" s="7"/>
      <c r="W124" s="7"/>
      <c r="X124" s="7"/>
      <c r="Y124" s="7"/>
      <c r="Z124" s="7"/>
      <c r="AA124" s="7"/>
      <c r="AB124" s="7"/>
      <c r="AC124" s="7"/>
      <c r="AD124" s="7"/>
      <c r="AE124" s="10"/>
      <c r="AF124" s="7"/>
      <c r="AG124" s="7"/>
      <c r="AH124" s="7"/>
      <c r="AI124" s="7"/>
      <c r="AJ124" s="7"/>
      <c r="AK124" s="7"/>
      <c r="AL124" s="7"/>
      <c r="AM124" s="7"/>
      <c r="AN124" s="10"/>
    </row>
    <row r="125" spans="2:40">
      <c r="B125" s="110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10"/>
      <c r="V125" s="7"/>
      <c r="W125" s="7"/>
      <c r="X125" s="7"/>
      <c r="Y125" s="7"/>
      <c r="Z125" s="7"/>
      <c r="AA125" s="7"/>
      <c r="AB125" s="7"/>
      <c r="AC125" s="7"/>
      <c r="AD125" s="7"/>
      <c r="AE125" s="10"/>
      <c r="AF125" s="7"/>
      <c r="AG125" s="7"/>
      <c r="AH125" s="7"/>
      <c r="AI125" s="7"/>
      <c r="AJ125" s="7"/>
      <c r="AK125" s="7"/>
      <c r="AL125" s="7"/>
      <c r="AM125" s="7"/>
      <c r="AN125" s="10"/>
    </row>
    <row r="126" spans="2:40">
      <c r="B126" s="10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10"/>
      <c r="V126" s="7"/>
      <c r="W126" s="7"/>
      <c r="X126" s="7"/>
      <c r="Y126" s="7"/>
      <c r="Z126" s="7"/>
      <c r="AA126" s="7"/>
      <c r="AB126" s="7"/>
      <c r="AC126" s="7"/>
      <c r="AD126" s="7"/>
      <c r="AE126" s="10"/>
      <c r="AF126" s="7"/>
      <c r="AG126" s="7"/>
      <c r="AH126" s="7"/>
      <c r="AI126" s="7"/>
      <c r="AJ126" s="7"/>
      <c r="AK126" s="7"/>
      <c r="AL126" s="7"/>
      <c r="AM126" s="7"/>
      <c r="AN126" s="10"/>
    </row>
    <row r="127" spans="2:40">
      <c r="B127" s="110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10"/>
      <c r="V127" s="7"/>
      <c r="W127" s="7"/>
      <c r="X127" s="7"/>
      <c r="Y127" s="7"/>
      <c r="Z127" s="7"/>
      <c r="AA127" s="7"/>
      <c r="AB127" s="7"/>
      <c r="AC127" s="7"/>
      <c r="AD127" s="7"/>
      <c r="AE127" s="10"/>
      <c r="AF127" s="7"/>
      <c r="AG127" s="7"/>
      <c r="AH127" s="7"/>
      <c r="AI127" s="7"/>
      <c r="AJ127" s="7"/>
      <c r="AK127" s="7"/>
      <c r="AL127" s="7"/>
      <c r="AM127" s="7"/>
      <c r="AN127" s="10"/>
    </row>
    <row r="128" spans="2:40">
      <c r="B128" s="10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10"/>
      <c r="V128" s="7"/>
      <c r="W128" s="7"/>
      <c r="X128" s="7"/>
      <c r="Y128" s="7"/>
      <c r="Z128" s="7"/>
      <c r="AA128" s="7"/>
      <c r="AB128" s="7"/>
      <c r="AC128" s="7"/>
      <c r="AD128" s="7"/>
      <c r="AE128" s="10"/>
      <c r="AF128" s="7"/>
      <c r="AG128" s="7"/>
      <c r="AH128" s="7"/>
      <c r="AI128" s="7"/>
      <c r="AJ128" s="7"/>
      <c r="AK128" s="7"/>
      <c r="AL128" s="7"/>
      <c r="AM128" s="7"/>
      <c r="AN128" s="10"/>
    </row>
    <row r="129" spans="2:40">
      <c r="B129" s="110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10"/>
      <c r="V129" s="7"/>
      <c r="W129" s="7"/>
      <c r="X129" s="7"/>
      <c r="Y129" s="7"/>
      <c r="Z129" s="7"/>
      <c r="AA129" s="7"/>
      <c r="AB129" s="7"/>
      <c r="AC129" s="7"/>
      <c r="AD129" s="7"/>
      <c r="AE129" s="10"/>
      <c r="AF129" s="7"/>
      <c r="AG129" s="7"/>
      <c r="AH129" s="7"/>
      <c r="AI129" s="7"/>
      <c r="AJ129" s="7"/>
      <c r="AK129" s="7"/>
      <c r="AL129" s="7"/>
      <c r="AM129" s="7"/>
      <c r="AN129" s="10"/>
    </row>
    <row r="130" spans="2:40">
      <c r="B130" s="10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10"/>
      <c r="V130" s="7"/>
      <c r="W130" s="7"/>
      <c r="X130" s="7"/>
      <c r="Y130" s="7"/>
      <c r="Z130" s="7"/>
      <c r="AA130" s="7"/>
      <c r="AB130" s="7"/>
      <c r="AC130" s="7"/>
      <c r="AD130" s="7"/>
      <c r="AE130" s="10"/>
      <c r="AF130" s="7"/>
      <c r="AG130" s="7"/>
      <c r="AH130" s="7"/>
      <c r="AI130" s="7"/>
      <c r="AJ130" s="7"/>
      <c r="AK130" s="7"/>
      <c r="AL130" s="7"/>
      <c r="AM130" s="7"/>
      <c r="AN130" s="10"/>
    </row>
    <row r="131" spans="2:40">
      <c r="B131" s="110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10"/>
      <c r="V131" s="7"/>
      <c r="W131" s="7"/>
      <c r="X131" s="7"/>
      <c r="Y131" s="7"/>
      <c r="Z131" s="7"/>
      <c r="AA131" s="7"/>
      <c r="AB131" s="7"/>
      <c r="AC131" s="7"/>
      <c r="AD131" s="7"/>
      <c r="AE131" s="10"/>
      <c r="AF131" s="7"/>
      <c r="AG131" s="7"/>
      <c r="AH131" s="7"/>
      <c r="AI131" s="7"/>
      <c r="AJ131" s="7"/>
      <c r="AK131" s="7"/>
      <c r="AL131" s="7"/>
      <c r="AM131" s="7"/>
      <c r="AN131" s="10"/>
    </row>
    <row r="132" spans="2:40">
      <c r="B132" s="10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10"/>
      <c r="V132" s="7"/>
      <c r="W132" s="7"/>
      <c r="X132" s="7"/>
      <c r="Y132" s="7"/>
      <c r="Z132" s="7"/>
      <c r="AA132" s="7"/>
      <c r="AB132" s="7"/>
      <c r="AC132" s="7"/>
      <c r="AD132" s="7"/>
      <c r="AE132" s="10"/>
      <c r="AF132" s="7"/>
      <c r="AG132" s="7"/>
      <c r="AH132" s="7"/>
      <c r="AI132" s="7"/>
      <c r="AJ132" s="7"/>
      <c r="AK132" s="7"/>
      <c r="AL132" s="7"/>
      <c r="AM132" s="7"/>
      <c r="AN132" s="10"/>
    </row>
    <row r="133" spans="2:40">
      <c r="B133" s="110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10"/>
      <c r="V133" s="7"/>
      <c r="W133" s="7"/>
      <c r="X133" s="7"/>
      <c r="Y133" s="7"/>
      <c r="Z133" s="7"/>
      <c r="AA133" s="7"/>
      <c r="AB133" s="7"/>
      <c r="AC133" s="7"/>
      <c r="AD133" s="7"/>
      <c r="AE133" s="10"/>
      <c r="AF133" s="7"/>
      <c r="AG133" s="7"/>
      <c r="AH133" s="7"/>
      <c r="AI133" s="7"/>
      <c r="AJ133" s="7"/>
      <c r="AK133" s="7"/>
      <c r="AL133" s="7"/>
      <c r="AM133" s="7"/>
      <c r="AN133" s="10"/>
    </row>
    <row r="134" spans="2:40">
      <c r="B134" s="10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10"/>
      <c r="V134" s="7"/>
      <c r="W134" s="7"/>
      <c r="X134" s="7"/>
      <c r="Y134" s="7"/>
      <c r="Z134" s="7"/>
      <c r="AA134" s="7"/>
      <c r="AB134" s="7"/>
      <c r="AC134" s="7"/>
      <c r="AD134" s="7"/>
      <c r="AE134" s="10"/>
      <c r="AF134" s="7"/>
      <c r="AG134" s="7"/>
      <c r="AH134" s="7"/>
      <c r="AI134" s="7"/>
      <c r="AJ134" s="7"/>
      <c r="AK134" s="7"/>
      <c r="AL134" s="7"/>
      <c r="AM134" s="7"/>
      <c r="AN134" s="10"/>
    </row>
    <row r="135" spans="2:40">
      <c r="B135" s="110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10"/>
      <c r="V135" s="7"/>
      <c r="W135" s="7"/>
      <c r="X135" s="7"/>
      <c r="Y135" s="7"/>
      <c r="Z135" s="7"/>
      <c r="AA135" s="7"/>
      <c r="AB135" s="7"/>
      <c r="AC135" s="7"/>
      <c r="AD135" s="7"/>
      <c r="AE135" s="10"/>
      <c r="AF135" s="7"/>
      <c r="AG135" s="7"/>
      <c r="AH135" s="7"/>
      <c r="AI135" s="7"/>
      <c r="AJ135" s="7"/>
      <c r="AK135" s="7"/>
      <c r="AL135" s="7"/>
      <c r="AM135" s="7"/>
      <c r="AN135" s="10"/>
    </row>
    <row r="136" spans="2:40">
      <c r="B136" s="10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10"/>
      <c r="V136" s="7"/>
      <c r="W136" s="7"/>
      <c r="X136" s="7"/>
      <c r="Y136" s="7"/>
      <c r="Z136" s="7"/>
      <c r="AA136" s="7"/>
      <c r="AB136" s="7"/>
      <c r="AC136" s="7"/>
      <c r="AD136" s="7"/>
      <c r="AE136" s="10"/>
      <c r="AF136" s="7"/>
      <c r="AG136" s="7"/>
      <c r="AH136" s="7"/>
      <c r="AI136" s="7"/>
      <c r="AJ136" s="7"/>
      <c r="AK136" s="7"/>
      <c r="AL136" s="7"/>
      <c r="AM136" s="7"/>
      <c r="AN136" s="10"/>
    </row>
    <row r="137" spans="2:40">
      <c r="B137" s="110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10"/>
      <c r="V137" s="7"/>
      <c r="W137" s="7"/>
      <c r="X137" s="7"/>
      <c r="Y137" s="7"/>
      <c r="Z137" s="7"/>
      <c r="AA137" s="7"/>
      <c r="AB137" s="7"/>
      <c r="AC137" s="7"/>
      <c r="AD137" s="7"/>
      <c r="AE137" s="10"/>
      <c r="AF137" s="7"/>
      <c r="AG137" s="7"/>
      <c r="AH137" s="7"/>
      <c r="AI137" s="7"/>
      <c r="AJ137" s="7"/>
      <c r="AK137" s="7"/>
      <c r="AL137" s="7"/>
      <c r="AM137" s="7"/>
      <c r="AN137" s="10"/>
    </row>
    <row r="138" spans="2:40">
      <c r="B138" s="10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10"/>
      <c r="V138" s="7"/>
      <c r="W138" s="7"/>
      <c r="X138" s="7"/>
      <c r="Y138" s="7"/>
      <c r="Z138" s="7"/>
      <c r="AA138" s="7"/>
      <c r="AB138" s="7"/>
      <c r="AC138" s="7"/>
      <c r="AD138" s="7"/>
      <c r="AE138" s="10"/>
      <c r="AF138" s="7"/>
      <c r="AG138" s="7"/>
      <c r="AH138" s="7"/>
      <c r="AI138" s="7"/>
      <c r="AJ138" s="7"/>
      <c r="AK138" s="7"/>
      <c r="AL138" s="7"/>
      <c r="AM138" s="7"/>
      <c r="AN138" s="10"/>
    </row>
    <row r="139" spans="2:40">
      <c r="B139" s="110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10"/>
      <c r="V139" s="7"/>
      <c r="W139" s="7"/>
      <c r="X139" s="7"/>
      <c r="Y139" s="7"/>
      <c r="Z139" s="7"/>
      <c r="AA139" s="7"/>
      <c r="AB139" s="7"/>
      <c r="AC139" s="7"/>
      <c r="AD139" s="7"/>
      <c r="AE139" s="10"/>
      <c r="AF139" s="7"/>
      <c r="AG139" s="7"/>
      <c r="AH139" s="7"/>
      <c r="AI139" s="7"/>
      <c r="AJ139" s="7"/>
      <c r="AK139" s="7"/>
      <c r="AL139" s="7"/>
      <c r="AM139" s="7"/>
      <c r="AN139" s="10"/>
    </row>
    <row r="140" spans="2:40">
      <c r="B140" s="10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10"/>
      <c r="V140" s="7"/>
      <c r="W140" s="7"/>
      <c r="X140" s="7"/>
      <c r="Y140" s="7"/>
      <c r="Z140" s="7"/>
      <c r="AA140" s="7"/>
      <c r="AB140" s="7"/>
      <c r="AC140" s="7"/>
      <c r="AD140" s="7"/>
      <c r="AE140" s="10"/>
      <c r="AF140" s="7"/>
      <c r="AG140" s="7"/>
      <c r="AH140" s="7"/>
      <c r="AI140" s="7"/>
      <c r="AJ140" s="7"/>
      <c r="AK140" s="7"/>
      <c r="AL140" s="7"/>
      <c r="AM140" s="7"/>
      <c r="AN140" s="10"/>
    </row>
    <row r="141" spans="2:40">
      <c r="B141" s="110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10"/>
      <c r="V141" s="7"/>
      <c r="W141" s="7"/>
      <c r="X141" s="7"/>
      <c r="Y141" s="7"/>
      <c r="Z141" s="7"/>
      <c r="AA141" s="7"/>
      <c r="AB141" s="7"/>
      <c r="AC141" s="7"/>
      <c r="AD141" s="7"/>
      <c r="AE141" s="10"/>
      <c r="AF141" s="7"/>
      <c r="AG141" s="7"/>
      <c r="AH141" s="7"/>
      <c r="AI141" s="7"/>
      <c r="AJ141" s="7"/>
      <c r="AK141" s="7"/>
      <c r="AL141" s="7"/>
      <c r="AM141" s="7"/>
      <c r="AN141" s="10"/>
    </row>
    <row r="142" spans="2:40">
      <c r="B142" s="10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10"/>
      <c r="V142" s="7"/>
      <c r="W142" s="7"/>
      <c r="X142" s="7"/>
      <c r="Y142" s="7"/>
      <c r="Z142" s="7"/>
      <c r="AA142" s="7"/>
      <c r="AB142" s="7"/>
      <c r="AC142" s="7"/>
      <c r="AD142" s="7"/>
      <c r="AE142" s="10"/>
      <c r="AF142" s="7"/>
      <c r="AG142" s="7"/>
      <c r="AH142" s="7"/>
      <c r="AI142" s="7"/>
      <c r="AJ142" s="7"/>
      <c r="AK142" s="7"/>
      <c r="AL142" s="7"/>
      <c r="AM142" s="7"/>
      <c r="AN142" s="10"/>
    </row>
    <row r="143" spans="2:40">
      <c r="B143" s="110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10"/>
      <c r="V143" s="7"/>
      <c r="W143" s="7"/>
      <c r="X143" s="7"/>
      <c r="Y143" s="7"/>
      <c r="Z143" s="7"/>
      <c r="AA143" s="7"/>
      <c r="AB143" s="7"/>
      <c r="AC143" s="7"/>
      <c r="AD143" s="7"/>
      <c r="AE143" s="10"/>
      <c r="AF143" s="7"/>
      <c r="AG143" s="7"/>
      <c r="AH143" s="7"/>
      <c r="AI143" s="7"/>
      <c r="AJ143" s="7"/>
      <c r="AK143" s="7"/>
      <c r="AL143" s="7"/>
      <c r="AM143" s="7"/>
      <c r="AN143" s="10"/>
    </row>
    <row r="144" spans="2:40">
      <c r="B144" s="10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10"/>
      <c r="V144" s="7"/>
      <c r="W144" s="7"/>
      <c r="X144" s="7"/>
      <c r="Y144" s="7"/>
      <c r="Z144" s="7"/>
      <c r="AA144" s="7"/>
      <c r="AB144" s="7"/>
      <c r="AC144" s="7"/>
      <c r="AD144" s="7"/>
      <c r="AE144" s="10"/>
      <c r="AF144" s="7"/>
      <c r="AG144" s="7"/>
      <c r="AH144" s="7"/>
      <c r="AI144" s="7"/>
      <c r="AJ144" s="7"/>
      <c r="AK144" s="7"/>
      <c r="AL144" s="7"/>
      <c r="AM144" s="7"/>
      <c r="AN144" s="10"/>
    </row>
    <row r="145" spans="2:40">
      <c r="B145" s="110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10"/>
      <c r="V145" s="7"/>
      <c r="W145" s="7"/>
      <c r="X145" s="7"/>
      <c r="Y145" s="7"/>
      <c r="Z145" s="7"/>
      <c r="AA145" s="7"/>
      <c r="AB145" s="7"/>
      <c r="AC145" s="7"/>
      <c r="AD145" s="7"/>
      <c r="AE145" s="10"/>
      <c r="AF145" s="7"/>
      <c r="AG145" s="7"/>
      <c r="AH145" s="7"/>
      <c r="AI145" s="7"/>
      <c r="AJ145" s="7"/>
      <c r="AK145" s="7"/>
      <c r="AL145" s="7"/>
      <c r="AM145" s="7"/>
      <c r="AN145" s="10"/>
    </row>
    <row r="146" spans="2:40">
      <c r="B146" s="10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10"/>
      <c r="V146" s="7"/>
      <c r="W146" s="7"/>
      <c r="X146" s="7"/>
      <c r="Y146" s="7"/>
      <c r="Z146" s="7"/>
      <c r="AA146" s="7"/>
      <c r="AB146" s="7"/>
      <c r="AC146" s="7"/>
      <c r="AD146" s="7"/>
      <c r="AE146" s="10"/>
      <c r="AF146" s="7"/>
      <c r="AG146" s="7"/>
      <c r="AH146" s="7"/>
      <c r="AI146" s="7"/>
      <c r="AJ146" s="7"/>
      <c r="AK146" s="7"/>
      <c r="AL146" s="7"/>
      <c r="AM146" s="7"/>
      <c r="AN146" s="10"/>
    </row>
    <row r="147" spans="2:40">
      <c r="B147" s="110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10"/>
      <c r="V147" s="7"/>
      <c r="W147" s="7"/>
      <c r="X147" s="7"/>
      <c r="Y147" s="7"/>
      <c r="Z147" s="7"/>
      <c r="AA147" s="7"/>
      <c r="AB147" s="7"/>
      <c r="AC147" s="7"/>
      <c r="AD147" s="7"/>
      <c r="AE147" s="10"/>
      <c r="AF147" s="7"/>
      <c r="AG147" s="7"/>
      <c r="AH147" s="7"/>
      <c r="AI147" s="7"/>
      <c r="AJ147" s="7"/>
      <c r="AK147" s="7"/>
      <c r="AL147" s="7"/>
      <c r="AM147" s="7"/>
      <c r="AN147" s="10"/>
    </row>
    <row r="148" spans="2:40">
      <c r="B148" s="10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10"/>
      <c r="V148" s="7"/>
      <c r="W148" s="7"/>
      <c r="X148" s="7"/>
      <c r="Y148" s="7"/>
      <c r="Z148" s="7"/>
      <c r="AA148" s="7"/>
      <c r="AB148" s="7"/>
      <c r="AC148" s="7"/>
      <c r="AD148" s="7"/>
      <c r="AE148" s="10"/>
      <c r="AF148" s="7"/>
      <c r="AG148" s="7"/>
      <c r="AH148" s="7"/>
      <c r="AI148" s="7"/>
      <c r="AJ148" s="7"/>
      <c r="AK148" s="7"/>
      <c r="AL148" s="7"/>
      <c r="AM148" s="7"/>
      <c r="AN148" s="10"/>
    </row>
    <row r="149" spans="2:40">
      <c r="B149" s="110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10"/>
      <c r="V149" s="7"/>
      <c r="W149" s="7"/>
      <c r="X149" s="7"/>
      <c r="Y149" s="7"/>
      <c r="Z149" s="7"/>
      <c r="AA149" s="7"/>
      <c r="AB149" s="7"/>
      <c r="AC149" s="7"/>
      <c r="AD149" s="7"/>
      <c r="AE149" s="10"/>
      <c r="AF149" s="7"/>
      <c r="AG149" s="7"/>
      <c r="AH149" s="7"/>
      <c r="AI149" s="7"/>
      <c r="AJ149" s="7"/>
      <c r="AK149" s="7"/>
      <c r="AL149" s="7"/>
      <c r="AM149" s="7"/>
      <c r="AN149" s="10"/>
    </row>
    <row r="150" spans="2:40">
      <c r="B150" s="10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10"/>
      <c r="V150" s="7"/>
      <c r="W150" s="7"/>
      <c r="X150" s="7"/>
      <c r="Y150" s="7"/>
      <c r="Z150" s="7"/>
      <c r="AA150" s="7"/>
      <c r="AB150" s="7"/>
      <c r="AC150" s="7"/>
      <c r="AD150" s="7"/>
      <c r="AE150" s="10"/>
      <c r="AF150" s="7"/>
      <c r="AG150" s="7"/>
      <c r="AH150" s="7"/>
      <c r="AI150" s="7"/>
      <c r="AJ150" s="7"/>
      <c r="AK150" s="7"/>
      <c r="AL150" s="7"/>
      <c r="AM150" s="7"/>
      <c r="AN150" s="10"/>
    </row>
    <row r="151" spans="2:40">
      <c r="B151" s="110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10"/>
      <c r="V151" s="7"/>
      <c r="W151" s="7"/>
      <c r="X151" s="7"/>
      <c r="Y151" s="7"/>
      <c r="Z151" s="7"/>
      <c r="AA151" s="7"/>
      <c r="AB151" s="7"/>
      <c r="AC151" s="7"/>
      <c r="AD151" s="7"/>
      <c r="AE151" s="10"/>
      <c r="AF151" s="7"/>
      <c r="AG151" s="7"/>
      <c r="AH151" s="7"/>
      <c r="AI151" s="7"/>
      <c r="AJ151" s="7"/>
      <c r="AK151" s="7"/>
      <c r="AL151" s="7"/>
      <c r="AM151" s="7"/>
      <c r="AN151" s="10"/>
    </row>
    <row r="152" spans="2:40">
      <c r="B152" s="10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10"/>
      <c r="V152" s="7"/>
      <c r="W152" s="7"/>
      <c r="X152" s="7"/>
      <c r="Y152" s="7"/>
      <c r="Z152" s="7"/>
      <c r="AA152" s="7"/>
      <c r="AB152" s="7"/>
      <c r="AC152" s="7"/>
      <c r="AD152" s="7"/>
      <c r="AE152" s="10"/>
      <c r="AF152" s="7"/>
      <c r="AG152" s="7"/>
      <c r="AH152" s="7"/>
      <c r="AI152" s="7"/>
      <c r="AJ152" s="7"/>
      <c r="AK152" s="7"/>
      <c r="AL152" s="7"/>
      <c r="AM152" s="7"/>
      <c r="AN152" s="10"/>
    </row>
    <row r="153" spans="2:40">
      <c r="B153" s="110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10"/>
      <c r="V153" s="7"/>
      <c r="W153" s="7"/>
      <c r="X153" s="7"/>
      <c r="Y153" s="7"/>
      <c r="Z153" s="7"/>
      <c r="AA153" s="7"/>
      <c r="AB153" s="7"/>
      <c r="AC153" s="7"/>
      <c r="AD153" s="7"/>
      <c r="AE153" s="10"/>
      <c r="AF153" s="7"/>
      <c r="AG153" s="7"/>
      <c r="AH153" s="7"/>
      <c r="AI153" s="7"/>
      <c r="AJ153" s="7"/>
      <c r="AK153" s="7"/>
      <c r="AL153" s="7"/>
      <c r="AM153" s="7"/>
      <c r="AN153" s="10"/>
    </row>
    <row r="154" spans="2:40">
      <c r="B154" s="10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10"/>
      <c r="V154" s="7"/>
      <c r="W154" s="7"/>
      <c r="X154" s="7"/>
      <c r="Y154" s="7"/>
      <c r="Z154" s="7"/>
      <c r="AA154" s="7"/>
      <c r="AB154" s="7"/>
      <c r="AC154" s="7"/>
      <c r="AD154" s="7"/>
      <c r="AE154" s="10"/>
      <c r="AF154" s="7"/>
      <c r="AG154" s="7"/>
      <c r="AH154" s="7"/>
      <c r="AI154" s="7"/>
      <c r="AJ154" s="7"/>
      <c r="AK154" s="7"/>
      <c r="AL154" s="7"/>
      <c r="AM154" s="7"/>
      <c r="AN154" s="10"/>
    </row>
    <row r="155" spans="2:40">
      <c r="B155" s="110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10"/>
      <c r="V155" s="7"/>
      <c r="W155" s="7"/>
      <c r="X155" s="7"/>
      <c r="Y155" s="7"/>
      <c r="Z155" s="7"/>
      <c r="AA155" s="7"/>
      <c r="AB155" s="7"/>
      <c r="AC155" s="7"/>
      <c r="AD155" s="7"/>
      <c r="AE155" s="10"/>
      <c r="AF155" s="7"/>
      <c r="AG155" s="7"/>
      <c r="AH155" s="7"/>
      <c r="AI155" s="7"/>
      <c r="AJ155" s="7"/>
      <c r="AK155" s="7"/>
      <c r="AL155" s="7"/>
      <c r="AM155" s="7"/>
      <c r="AN155" s="10"/>
    </row>
    <row r="156" spans="2:40">
      <c r="B156" s="10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10"/>
      <c r="V156" s="7"/>
      <c r="W156" s="7"/>
      <c r="X156" s="7"/>
      <c r="Y156" s="7"/>
      <c r="Z156" s="7"/>
      <c r="AA156" s="7"/>
      <c r="AB156" s="7"/>
      <c r="AC156" s="7"/>
      <c r="AD156" s="7"/>
      <c r="AE156" s="10"/>
      <c r="AF156" s="7"/>
      <c r="AG156" s="7"/>
      <c r="AH156" s="7"/>
      <c r="AI156" s="7"/>
      <c r="AJ156" s="7"/>
      <c r="AK156" s="7"/>
      <c r="AL156" s="7"/>
      <c r="AM156" s="7"/>
      <c r="AN156" s="10"/>
    </row>
    <row r="157" spans="2:40">
      <c r="B157" s="110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10"/>
      <c r="V157" s="7"/>
      <c r="W157" s="7"/>
      <c r="X157" s="7"/>
      <c r="Y157" s="7"/>
      <c r="Z157" s="7"/>
      <c r="AA157" s="7"/>
      <c r="AB157" s="7"/>
      <c r="AC157" s="7"/>
      <c r="AD157" s="7"/>
      <c r="AE157" s="10"/>
      <c r="AF157" s="7"/>
      <c r="AG157" s="7"/>
      <c r="AH157" s="7"/>
      <c r="AI157" s="7"/>
      <c r="AJ157" s="7"/>
      <c r="AK157" s="7"/>
      <c r="AL157" s="7"/>
      <c r="AM157" s="7"/>
      <c r="AN157" s="10"/>
    </row>
    <row r="158" spans="2:40">
      <c r="B158" s="10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10"/>
      <c r="V158" s="7"/>
      <c r="W158" s="7"/>
      <c r="X158" s="7"/>
      <c r="Y158" s="7"/>
      <c r="Z158" s="7"/>
      <c r="AA158" s="7"/>
      <c r="AB158" s="7"/>
      <c r="AC158" s="7"/>
      <c r="AD158" s="7"/>
      <c r="AE158" s="10"/>
      <c r="AF158" s="7"/>
      <c r="AG158" s="7"/>
      <c r="AH158" s="7"/>
      <c r="AI158" s="7"/>
      <c r="AJ158" s="7"/>
      <c r="AK158" s="7"/>
      <c r="AL158" s="7"/>
      <c r="AM158" s="7"/>
      <c r="AN158" s="10"/>
    </row>
    <row r="159" spans="2:40">
      <c r="B159" s="110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10"/>
      <c r="V159" s="7"/>
      <c r="W159" s="7"/>
      <c r="X159" s="7"/>
      <c r="Y159" s="7"/>
      <c r="Z159" s="7"/>
      <c r="AA159" s="7"/>
      <c r="AB159" s="7"/>
      <c r="AC159" s="7"/>
      <c r="AD159" s="7"/>
      <c r="AE159" s="10"/>
      <c r="AF159" s="7"/>
      <c r="AG159" s="7"/>
      <c r="AH159" s="7"/>
      <c r="AI159" s="7"/>
      <c r="AJ159" s="7"/>
      <c r="AK159" s="7"/>
      <c r="AL159" s="7"/>
      <c r="AM159" s="7"/>
      <c r="AN159" s="10"/>
    </row>
    <row r="160" spans="2:40">
      <c r="B160" s="10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10"/>
      <c r="V160" s="7"/>
      <c r="W160" s="7"/>
      <c r="X160" s="7"/>
      <c r="Y160" s="7"/>
      <c r="Z160" s="7"/>
      <c r="AA160" s="7"/>
      <c r="AB160" s="7"/>
      <c r="AC160" s="7"/>
      <c r="AD160" s="7"/>
      <c r="AE160" s="10"/>
      <c r="AF160" s="7"/>
      <c r="AG160" s="7"/>
      <c r="AH160" s="7"/>
      <c r="AI160" s="7"/>
      <c r="AJ160" s="7"/>
      <c r="AK160" s="7"/>
      <c r="AL160" s="7"/>
      <c r="AM160" s="7"/>
      <c r="AN160" s="10"/>
    </row>
    <row r="161" spans="2:40">
      <c r="B161" s="110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10"/>
      <c r="V161" s="7"/>
      <c r="W161" s="7"/>
      <c r="X161" s="7"/>
      <c r="Y161" s="7"/>
      <c r="Z161" s="7"/>
      <c r="AA161" s="7"/>
      <c r="AB161" s="7"/>
      <c r="AC161" s="7"/>
      <c r="AD161" s="7"/>
      <c r="AE161" s="10"/>
      <c r="AF161" s="7"/>
      <c r="AG161" s="7"/>
      <c r="AH161" s="7"/>
      <c r="AI161" s="7"/>
      <c r="AJ161" s="7"/>
      <c r="AK161" s="7"/>
      <c r="AL161" s="7"/>
      <c r="AM161" s="7"/>
      <c r="AN161" s="10"/>
    </row>
    <row r="162" spans="2:40">
      <c r="B162" s="10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10"/>
      <c r="V162" s="7"/>
      <c r="W162" s="7"/>
      <c r="X162" s="7"/>
      <c r="Y162" s="7"/>
      <c r="Z162" s="7"/>
      <c r="AA162" s="7"/>
      <c r="AB162" s="7"/>
      <c r="AC162" s="7"/>
      <c r="AD162" s="7"/>
      <c r="AE162" s="10"/>
      <c r="AF162" s="7"/>
      <c r="AG162" s="7"/>
      <c r="AH162" s="7"/>
      <c r="AI162" s="7"/>
      <c r="AJ162" s="7"/>
      <c r="AK162" s="7"/>
      <c r="AL162" s="7"/>
      <c r="AM162" s="7"/>
      <c r="AN162" s="10"/>
    </row>
    <row r="163" spans="2:40">
      <c r="B163" s="110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10"/>
      <c r="V163" s="7"/>
      <c r="W163" s="7"/>
      <c r="X163" s="7"/>
      <c r="Y163" s="7"/>
      <c r="Z163" s="7"/>
      <c r="AA163" s="7"/>
      <c r="AB163" s="7"/>
      <c r="AC163" s="7"/>
      <c r="AD163" s="7"/>
      <c r="AE163" s="10"/>
      <c r="AF163" s="7"/>
      <c r="AG163" s="7"/>
      <c r="AH163" s="7"/>
      <c r="AI163" s="7"/>
      <c r="AJ163" s="7"/>
      <c r="AK163" s="7"/>
      <c r="AL163" s="7"/>
      <c r="AM163" s="7"/>
      <c r="AN163" s="10"/>
    </row>
    <row r="164" spans="2:40">
      <c r="B164" s="10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10"/>
      <c r="V164" s="7"/>
      <c r="W164" s="7"/>
      <c r="X164" s="7"/>
      <c r="Y164" s="7"/>
      <c r="Z164" s="7"/>
      <c r="AA164" s="7"/>
      <c r="AB164" s="7"/>
      <c r="AC164" s="7"/>
      <c r="AD164" s="7"/>
      <c r="AE164" s="10"/>
      <c r="AF164" s="7"/>
      <c r="AG164" s="7"/>
      <c r="AH164" s="7"/>
      <c r="AI164" s="7"/>
      <c r="AJ164" s="7"/>
      <c r="AK164" s="7"/>
      <c r="AL164" s="7"/>
      <c r="AM164" s="7"/>
      <c r="AN164" s="10"/>
    </row>
    <row r="165" spans="2:40">
      <c r="B165" s="110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10"/>
      <c r="V165" s="7"/>
      <c r="W165" s="7"/>
      <c r="X165" s="7"/>
      <c r="Y165" s="7"/>
      <c r="Z165" s="7"/>
      <c r="AA165" s="7"/>
      <c r="AB165" s="7"/>
      <c r="AC165" s="7"/>
      <c r="AD165" s="7"/>
      <c r="AE165" s="10"/>
      <c r="AF165" s="7"/>
      <c r="AG165" s="7"/>
      <c r="AH165" s="7"/>
      <c r="AI165" s="7"/>
      <c r="AJ165" s="7"/>
      <c r="AK165" s="7"/>
      <c r="AL165" s="7"/>
      <c r="AM165" s="7"/>
      <c r="AN165" s="10"/>
    </row>
    <row r="166" spans="2:40">
      <c r="B166" s="10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10"/>
      <c r="V166" s="7"/>
      <c r="W166" s="7"/>
      <c r="X166" s="7"/>
      <c r="Y166" s="7"/>
      <c r="Z166" s="7"/>
      <c r="AA166" s="7"/>
      <c r="AB166" s="7"/>
      <c r="AC166" s="7"/>
      <c r="AD166" s="7"/>
      <c r="AE166" s="10"/>
      <c r="AF166" s="7"/>
      <c r="AG166" s="7"/>
      <c r="AH166" s="7"/>
      <c r="AI166" s="7"/>
      <c r="AJ166" s="7"/>
      <c r="AK166" s="7"/>
      <c r="AL166" s="7"/>
      <c r="AM166" s="7"/>
      <c r="AN166" s="10"/>
    </row>
    <row r="167" spans="2:40">
      <c r="B167" s="110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10"/>
      <c r="V167" s="7"/>
      <c r="W167" s="7"/>
      <c r="X167" s="7"/>
      <c r="Y167" s="7"/>
      <c r="Z167" s="7"/>
      <c r="AA167" s="7"/>
      <c r="AB167" s="7"/>
      <c r="AC167" s="7"/>
      <c r="AD167" s="7"/>
      <c r="AE167" s="10"/>
      <c r="AF167" s="7"/>
      <c r="AG167" s="7"/>
      <c r="AH167" s="7"/>
      <c r="AI167" s="7"/>
      <c r="AJ167" s="7"/>
      <c r="AK167" s="7"/>
      <c r="AL167" s="7"/>
      <c r="AM167" s="7"/>
      <c r="AN167" s="10"/>
    </row>
    <row r="168" spans="2:40">
      <c r="B168" s="10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10"/>
      <c r="V168" s="7"/>
      <c r="W168" s="7"/>
      <c r="X168" s="7"/>
      <c r="Y168" s="7"/>
      <c r="Z168" s="7"/>
      <c r="AA168" s="7"/>
      <c r="AB168" s="7"/>
      <c r="AC168" s="7"/>
      <c r="AD168" s="7"/>
      <c r="AE168" s="10"/>
      <c r="AF168" s="7"/>
      <c r="AG168" s="7"/>
      <c r="AH168" s="7"/>
      <c r="AI168" s="7"/>
      <c r="AJ168" s="7"/>
      <c r="AK168" s="7"/>
      <c r="AL168" s="7"/>
      <c r="AM168" s="7"/>
      <c r="AN168" s="10"/>
    </row>
    <row r="169" spans="2:40">
      <c r="B169" s="110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10"/>
      <c r="V169" s="7"/>
      <c r="W169" s="7"/>
      <c r="X169" s="7"/>
      <c r="Y169" s="7"/>
      <c r="Z169" s="7"/>
      <c r="AA169" s="7"/>
      <c r="AB169" s="7"/>
      <c r="AC169" s="7"/>
      <c r="AD169" s="7"/>
      <c r="AE169" s="10"/>
      <c r="AF169" s="7"/>
      <c r="AG169" s="7"/>
      <c r="AH169" s="7"/>
      <c r="AI169" s="7"/>
      <c r="AJ169" s="7"/>
      <c r="AK169" s="7"/>
      <c r="AL169" s="7"/>
      <c r="AM169" s="7"/>
      <c r="AN169" s="10"/>
    </row>
    <row r="170" spans="2:40">
      <c r="B170" s="10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10"/>
      <c r="V170" s="7"/>
      <c r="W170" s="7"/>
      <c r="X170" s="7"/>
      <c r="Y170" s="7"/>
      <c r="Z170" s="7"/>
      <c r="AA170" s="7"/>
      <c r="AB170" s="7"/>
      <c r="AC170" s="7"/>
      <c r="AD170" s="7"/>
      <c r="AE170" s="10"/>
      <c r="AF170" s="7"/>
      <c r="AG170" s="7"/>
      <c r="AH170" s="7"/>
      <c r="AI170" s="7"/>
      <c r="AJ170" s="7"/>
      <c r="AK170" s="7"/>
      <c r="AL170" s="7"/>
      <c r="AM170" s="7"/>
      <c r="AN170" s="10"/>
    </row>
    <row r="171" spans="2:40">
      <c r="B171" s="110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10"/>
      <c r="V171" s="7"/>
      <c r="W171" s="7"/>
      <c r="X171" s="7"/>
      <c r="Y171" s="7"/>
      <c r="Z171" s="7"/>
      <c r="AA171" s="7"/>
      <c r="AB171" s="7"/>
      <c r="AC171" s="7"/>
      <c r="AD171" s="7"/>
      <c r="AE171" s="10"/>
      <c r="AF171" s="7"/>
      <c r="AG171" s="7"/>
      <c r="AH171" s="7"/>
      <c r="AI171" s="7"/>
      <c r="AJ171" s="7"/>
      <c r="AK171" s="7"/>
      <c r="AL171" s="7"/>
      <c r="AM171" s="7"/>
      <c r="AN171" s="10"/>
    </row>
    <row r="172" spans="2:40">
      <c r="B172" s="10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10"/>
      <c r="V172" s="7"/>
      <c r="W172" s="7"/>
      <c r="X172" s="7"/>
      <c r="Y172" s="7"/>
      <c r="Z172" s="7"/>
      <c r="AA172" s="7"/>
      <c r="AB172" s="7"/>
      <c r="AC172" s="7"/>
      <c r="AD172" s="7"/>
      <c r="AE172" s="10"/>
      <c r="AF172" s="7"/>
      <c r="AG172" s="7"/>
      <c r="AH172" s="7"/>
      <c r="AI172" s="7"/>
      <c r="AJ172" s="7"/>
      <c r="AK172" s="7"/>
      <c r="AL172" s="7"/>
      <c r="AM172" s="7"/>
      <c r="AN172" s="10"/>
    </row>
    <row r="173" spans="2:40">
      <c r="B173" s="110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10"/>
      <c r="V173" s="7"/>
      <c r="W173" s="7"/>
      <c r="X173" s="7"/>
      <c r="Y173" s="7"/>
      <c r="Z173" s="7"/>
      <c r="AA173" s="7"/>
      <c r="AB173" s="7"/>
      <c r="AC173" s="7"/>
      <c r="AD173" s="7"/>
      <c r="AE173" s="10"/>
      <c r="AF173" s="7"/>
      <c r="AG173" s="7"/>
      <c r="AH173" s="7"/>
      <c r="AI173" s="7"/>
      <c r="AJ173" s="7"/>
      <c r="AK173" s="7"/>
      <c r="AL173" s="7"/>
      <c r="AM173" s="7"/>
      <c r="AN173" s="10"/>
    </row>
    <row r="174" spans="2:40">
      <c r="B174" s="10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10"/>
      <c r="V174" s="7"/>
      <c r="W174" s="7"/>
      <c r="X174" s="7"/>
      <c r="Y174" s="7"/>
      <c r="Z174" s="7"/>
      <c r="AA174" s="7"/>
      <c r="AB174" s="7"/>
      <c r="AC174" s="7"/>
      <c r="AD174" s="7"/>
      <c r="AE174" s="10"/>
      <c r="AF174" s="7"/>
      <c r="AG174" s="7"/>
      <c r="AH174" s="7"/>
      <c r="AI174" s="7"/>
      <c r="AJ174" s="7"/>
      <c r="AK174" s="7"/>
      <c r="AL174" s="7"/>
      <c r="AM174" s="7"/>
      <c r="AN174" s="10"/>
    </row>
    <row r="175" spans="2:40">
      <c r="B175" s="110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10"/>
      <c r="V175" s="7"/>
      <c r="W175" s="7"/>
      <c r="X175" s="7"/>
      <c r="Y175" s="7"/>
      <c r="Z175" s="7"/>
      <c r="AA175" s="7"/>
      <c r="AB175" s="7"/>
      <c r="AC175" s="7"/>
      <c r="AD175" s="7"/>
      <c r="AE175" s="10"/>
      <c r="AF175" s="7"/>
      <c r="AG175" s="7"/>
      <c r="AH175" s="7"/>
      <c r="AI175" s="7"/>
      <c r="AJ175" s="7"/>
      <c r="AK175" s="7"/>
      <c r="AL175" s="7"/>
      <c r="AM175" s="7"/>
      <c r="AN175" s="10"/>
    </row>
    <row r="176" spans="2:40">
      <c r="B176" s="10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10"/>
      <c r="V176" s="7"/>
      <c r="W176" s="7"/>
      <c r="X176" s="7"/>
      <c r="Y176" s="7"/>
      <c r="Z176" s="7"/>
      <c r="AA176" s="7"/>
      <c r="AB176" s="7"/>
      <c r="AC176" s="7"/>
      <c r="AD176" s="7"/>
      <c r="AE176" s="10"/>
      <c r="AF176" s="7"/>
      <c r="AG176" s="7"/>
      <c r="AH176" s="7"/>
      <c r="AI176" s="7"/>
      <c r="AJ176" s="7"/>
      <c r="AK176" s="7"/>
      <c r="AL176" s="7"/>
      <c r="AM176" s="7"/>
      <c r="AN176" s="10"/>
    </row>
    <row r="177" spans="2:40">
      <c r="B177" s="110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10"/>
      <c r="V177" s="7"/>
      <c r="W177" s="7"/>
      <c r="X177" s="7"/>
      <c r="Y177" s="7"/>
      <c r="Z177" s="7"/>
      <c r="AA177" s="7"/>
      <c r="AB177" s="7"/>
      <c r="AC177" s="7"/>
      <c r="AD177" s="7"/>
      <c r="AE177" s="10"/>
      <c r="AF177" s="7"/>
      <c r="AG177" s="7"/>
      <c r="AH177" s="7"/>
      <c r="AI177" s="7"/>
      <c r="AJ177" s="7"/>
      <c r="AK177" s="7"/>
      <c r="AL177" s="7"/>
      <c r="AM177" s="7"/>
      <c r="AN177" s="10"/>
    </row>
    <row r="178" spans="2:40">
      <c r="B178" s="10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10"/>
      <c r="V178" s="7"/>
      <c r="W178" s="7"/>
      <c r="X178" s="7"/>
      <c r="Y178" s="7"/>
      <c r="Z178" s="7"/>
      <c r="AA178" s="7"/>
      <c r="AB178" s="7"/>
      <c r="AC178" s="7"/>
      <c r="AD178" s="7"/>
      <c r="AE178" s="10"/>
      <c r="AF178" s="7"/>
      <c r="AG178" s="7"/>
      <c r="AH178" s="7"/>
      <c r="AI178" s="7"/>
      <c r="AJ178" s="7"/>
      <c r="AK178" s="7"/>
      <c r="AL178" s="7"/>
      <c r="AM178" s="7"/>
      <c r="AN178" s="10"/>
    </row>
    <row r="179" spans="2:40">
      <c r="B179" s="110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10"/>
      <c r="V179" s="7"/>
      <c r="W179" s="7"/>
      <c r="X179" s="7"/>
      <c r="Y179" s="7"/>
      <c r="Z179" s="7"/>
      <c r="AA179" s="7"/>
      <c r="AB179" s="7"/>
      <c r="AC179" s="7"/>
      <c r="AD179" s="7"/>
      <c r="AE179" s="10"/>
      <c r="AF179" s="7"/>
      <c r="AG179" s="7"/>
      <c r="AH179" s="7"/>
      <c r="AI179" s="7"/>
      <c r="AJ179" s="7"/>
      <c r="AK179" s="7"/>
      <c r="AL179" s="7"/>
      <c r="AM179" s="7"/>
      <c r="AN179" s="10"/>
    </row>
    <row r="180" spans="2:40">
      <c r="B180" s="10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10"/>
      <c r="V180" s="7"/>
      <c r="W180" s="7"/>
      <c r="X180" s="7"/>
      <c r="Y180" s="7"/>
      <c r="Z180" s="7"/>
      <c r="AA180" s="7"/>
      <c r="AB180" s="7"/>
      <c r="AC180" s="7"/>
      <c r="AD180" s="7"/>
      <c r="AE180" s="10"/>
      <c r="AF180" s="7"/>
      <c r="AG180" s="7"/>
      <c r="AH180" s="7"/>
      <c r="AI180" s="7"/>
      <c r="AJ180" s="7"/>
      <c r="AK180" s="7"/>
      <c r="AL180" s="7"/>
      <c r="AM180" s="7"/>
      <c r="AN180" s="10"/>
    </row>
    <row r="181" spans="2:40">
      <c r="B181" s="110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10"/>
      <c r="V181" s="7"/>
      <c r="W181" s="7"/>
      <c r="X181" s="7"/>
      <c r="Y181" s="7"/>
      <c r="Z181" s="7"/>
      <c r="AA181" s="7"/>
      <c r="AB181" s="7"/>
      <c r="AC181" s="7"/>
      <c r="AD181" s="7"/>
      <c r="AE181" s="10"/>
      <c r="AF181" s="7"/>
      <c r="AG181" s="7"/>
      <c r="AH181" s="7"/>
      <c r="AI181" s="7"/>
      <c r="AJ181" s="7"/>
      <c r="AK181" s="7"/>
      <c r="AL181" s="7"/>
      <c r="AM181" s="7"/>
      <c r="AN181" s="10"/>
    </row>
    <row r="182" spans="2:40">
      <c r="B182" s="10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10"/>
      <c r="V182" s="7"/>
      <c r="W182" s="7"/>
      <c r="X182" s="7"/>
      <c r="Y182" s="7"/>
      <c r="Z182" s="7"/>
      <c r="AA182" s="7"/>
      <c r="AB182" s="7"/>
      <c r="AC182" s="7"/>
      <c r="AD182" s="7"/>
      <c r="AE182" s="10"/>
      <c r="AF182" s="7"/>
      <c r="AG182" s="7"/>
      <c r="AH182" s="7"/>
      <c r="AI182" s="7"/>
      <c r="AJ182" s="7"/>
      <c r="AK182" s="7"/>
      <c r="AL182" s="7"/>
      <c r="AM182" s="7"/>
      <c r="AN182" s="10"/>
    </row>
    <row r="183" spans="2:40">
      <c r="B183" s="110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10"/>
      <c r="V183" s="7"/>
      <c r="W183" s="7"/>
      <c r="X183" s="7"/>
      <c r="Y183" s="7"/>
      <c r="Z183" s="7"/>
      <c r="AA183" s="7"/>
      <c r="AB183" s="7"/>
      <c r="AC183" s="7"/>
      <c r="AD183" s="7"/>
      <c r="AE183" s="10"/>
      <c r="AF183" s="7"/>
      <c r="AG183" s="7"/>
      <c r="AH183" s="7"/>
      <c r="AI183" s="7"/>
      <c r="AJ183" s="7"/>
      <c r="AK183" s="7"/>
      <c r="AL183" s="7"/>
      <c r="AM183" s="7"/>
      <c r="AN183" s="10"/>
    </row>
    <row r="184" spans="2:40">
      <c r="B184" s="10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10"/>
      <c r="V184" s="7"/>
      <c r="W184" s="7"/>
      <c r="X184" s="7"/>
      <c r="Y184" s="7"/>
      <c r="Z184" s="7"/>
      <c r="AA184" s="7"/>
      <c r="AB184" s="7"/>
      <c r="AC184" s="7"/>
      <c r="AD184" s="7"/>
      <c r="AE184" s="10"/>
      <c r="AF184" s="7"/>
      <c r="AG184" s="7"/>
      <c r="AH184" s="7"/>
      <c r="AI184" s="7"/>
      <c r="AJ184" s="7"/>
      <c r="AK184" s="7"/>
      <c r="AL184" s="7"/>
      <c r="AM184" s="7"/>
      <c r="AN184" s="10"/>
    </row>
    <row r="185" spans="2:40">
      <c r="B185" s="110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10"/>
      <c r="V185" s="7"/>
      <c r="W185" s="7"/>
      <c r="X185" s="7"/>
      <c r="Y185" s="7"/>
      <c r="Z185" s="7"/>
      <c r="AA185" s="7"/>
      <c r="AB185" s="7"/>
      <c r="AC185" s="7"/>
      <c r="AD185" s="7"/>
      <c r="AE185" s="10"/>
      <c r="AF185" s="7"/>
      <c r="AG185" s="7"/>
      <c r="AH185" s="7"/>
      <c r="AI185" s="7"/>
      <c r="AJ185" s="7"/>
      <c r="AK185" s="7"/>
      <c r="AL185" s="7"/>
      <c r="AM185" s="7"/>
      <c r="AN185" s="10"/>
    </row>
    <row r="186" spans="2:40">
      <c r="B186" s="10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10"/>
      <c r="V186" s="7"/>
      <c r="W186" s="7"/>
      <c r="X186" s="7"/>
      <c r="Y186" s="7"/>
      <c r="Z186" s="7"/>
      <c r="AA186" s="7"/>
      <c r="AB186" s="7"/>
      <c r="AC186" s="7"/>
      <c r="AD186" s="7"/>
      <c r="AE186" s="10"/>
      <c r="AF186" s="7"/>
      <c r="AG186" s="7"/>
      <c r="AH186" s="7"/>
      <c r="AI186" s="7"/>
      <c r="AJ186" s="7"/>
      <c r="AK186" s="7"/>
      <c r="AL186" s="7"/>
      <c r="AM186" s="7"/>
      <c r="AN186" s="10"/>
    </row>
    <row r="187" spans="2:40">
      <c r="B187" s="110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10"/>
      <c r="V187" s="7"/>
      <c r="W187" s="7"/>
      <c r="X187" s="7"/>
      <c r="Y187" s="7"/>
      <c r="Z187" s="7"/>
      <c r="AA187" s="7"/>
      <c r="AB187" s="7"/>
      <c r="AC187" s="7"/>
      <c r="AD187" s="7"/>
      <c r="AE187" s="10"/>
      <c r="AF187" s="7"/>
      <c r="AG187" s="7"/>
      <c r="AH187" s="7"/>
      <c r="AI187" s="7"/>
      <c r="AJ187" s="7"/>
      <c r="AK187" s="7"/>
      <c r="AL187" s="7"/>
      <c r="AM187" s="7"/>
      <c r="AN187" s="10"/>
    </row>
    <row r="188" spans="2:40">
      <c r="B188" s="10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10"/>
      <c r="V188" s="7"/>
      <c r="W188" s="7"/>
      <c r="X188" s="7"/>
      <c r="Y188" s="7"/>
      <c r="Z188" s="7"/>
      <c r="AA188" s="7"/>
      <c r="AB188" s="7"/>
      <c r="AC188" s="7"/>
      <c r="AD188" s="7"/>
      <c r="AE188" s="10"/>
      <c r="AF188" s="7"/>
      <c r="AG188" s="7"/>
      <c r="AH188" s="7"/>
      <c r="AI188" s="7"/>
      <c r="AJ188" s="7"/>
      <c r="AK188" s="7"/>
      <c r="AL188" s="7"/>
      <c r="AM188" s="7"/>
      <c r="AN188" s="10"/>
    </row>
    <row r="189" spans="2:40">
      <c r="B189" s="110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10"/>
      <c r="V189" s="7"/>
      <c r="W189" s="7"/>
      <c r="X189" s="7"/>
      <c r="Y189" s="7"/>
      <c r="Z189" s="7"/>
      <c r="AA189" s="7"/>
      <c r="AB189" s="7"/>
      <c r="AC189" s="7"/>
      <c r="AD189" s="7"/>
      <c r="AE189" s="10"/>
      <c r="AF189" s="7"/>
      <c r="AG189" s="7"/>
      <c r="AH189" s="7"/>
      <c r="AI189" s="7"/>
      <c r="AJ189" s="7"/>
      <c r="AK189" s="7"/>
      <c r="AL189" s="7"/>
      <c r="AM189" s="7"/>
      <c r="AN189" s="10"/>
    </row>
  </sheetData>
  <mergeCells count="97">
    <mergeCell ref="D5:T5"/>
    <mergeCell ref="V5:AD5"/>
    <mergeCell ref="AF5:AL5"/>
    <mergeCell ref="AO7:BE7"/>
    <mergeCell ref="BF7:BN7"/>
    <mergeCell ref="BO7:BU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86:B187"/>
    <mergeCell ref="B188:B189"/>
    <mergeCell ref="B176:B177"/>
    <mergeCell ref="B178:B179"/>
    <mergeCell ref="B180:B181"/>
    <mergeCell ref="B182:B183"/>
    <mergeCell ref="B184:B185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J35"/>
  <sheetViews>
    <sheetView topLeftCell="A27" workbookViewId="0">
      <selection activeCell="AO2" sqref="AO2:BU2"/>
    </sheetView>
  </sheetViews>
  <sheetFormatPr defaultColWidth="9" defaultRowHeight="15"/>
  <sheetData>
    <row r="2" spans="1:10" ht="75">
      <c r="A2" s="1" t="s">
        <v>99</v>
      </c>
      <c r="B2" s="1" t="s">
        <v>100</v>
      </c>
      <c r="C2" s="1" t="s">
        <v>25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105</v>
      </c>
    </row>
    <row r="3" spans="1:10">
      <c r="A3" s="114" t="s">
        <v>64</v>
      </c>
      <c r="B3" s="3" t="s">
        <v>50</v>
      </c>
      <c r="C3" s="4">
        <v>12.5</v>
      </c>
      <c r="D3" s="5">
        <f>'Analysis-Tabular'!$C$8</f>
        <v>10</v>
      </c>
      <c r="F3">
        <f>D3/2</f>
        <v>5</v>
      </c>
      <c r="G3" t="str">
        <f>IF(AND(H3&gt;=50%,H3&lt;=70%),"Moderated",IF(H3&lt;50%,"Weak","Strong"))</f>
        <v>Strong</v>
      </c>
      <c r="H3" s="6">
        <v>0.88</v>
      </c>
      <c r="J3" s="6"/>
    </row>
    <row r="4" spans="1:10">
      <c r="A4" s="110"/>
      <c r="B4" s="7" t="s">
        <v>51</v>
      </c>
      <c r="C4" s="8">
        <v>12.5</v>
      </c>
      <c r="D4" s="5">
        <f>'Analysis-Tabular'!$C$8</f>
        <v>10</v>
      </c>
      <c r="F4">
        <f t="shared" ref="F4:F35" si="0">D4/2</f>
        <v>5</v>
      </c>
      <c r="G4" t="str">
        <f t="shared" ref="G4:G35" si="1">IF(AND(H4&gt;=50%,H4&lt;=70%),"Moderated",IF(H4&lt;50%,"Weak","Strong"))</f>
        <v>Strong</v>
      </c>
      <c r="H4" s="6">
        <v>0.98</v>
      </c>
      <c r="J4" s="6"/>
    </row>
    <row r="5" spans="1:10" hidden="1">
      <c r="A5" s="110"/>
      <c r="B5" s="7" t="s">
        <v>46</v>
      </c>
      <c r="C5" s="8">
        <v>5</v>
      </c>
      <c r="D5" s="5">
        <f>'Analysis-Tabular'!$C$8</f>
        <v>10</v>
      </c>
      <c r="F5">
        <f t="shared" si="0"/>
        <v>5</v>
      </c>
      <c r="G5" t="str">
        <f t="shared" si="1"/>
        <v>Moderated</v>
      </c>
      <c r="H5" s="6">
        <v>0.68333333333333302</v>
      </c>
      <c r="J5" s="6"/>
    </row>
    <row r="6" spans="1:10">
      <c r="A6" s="110"/>
      <c r="B6" s="7" t="s">
        <v>52</v>
      </c>
      <c r="C6" s="8">
        <v>2.5</v>
      </c>
      <c r="D6" s="5">
        <f>'Analysis-Tabular'!$C$8</f>
        <v>10</v>
      </c>
      <c r="F6">
        <f t="shared" si="0"/>
        <v>5</v>
      </c>
      <c r="G6" t="str">
        <f t="shared" si="1"/>
        <v>Strong</v>
      </c>
      <c r="H6" s="6">
        <v>0.93333333333333302</v>
      </c>
      <c r="J6" s="6"/>
    </row>
    <row r="7" spans="1:10">
      <c r="A7" s="110"/>
      <c r="B7" s="7" t="s">
        <v>53</v>
      </c>
      <c r="C7" s="8">
        <v>2.5</v>
      </c>
      <c r="D7" s="5">
        <f>'Analysis-Tabular'!$C$8</f>
        <v>10</v>
      </c>
      <c r="F7">
        <f t="shared" si="0"/>
        <v>5</v>
      </c>
      <c r="G7" t="str">
        <f t="shared" si="1"/>
        <v>Strong</v>
      </c>
      <c r="H7" s="6">
        <v>1</v>
      </c>
      <c r="J7" s="6"/>
    </row>
    <row r="8" spans="1:10" hidden="1">
      <c r="A8" s="110"/>
      <c r="B8" s="7" t="s">
        <v>47</v>
      </c>
      <c r="C8" s="8">
        <v>2.5</v>
      </c>
      <c r="D8" s="5">
        <f>'Analysis-Tabular'!$C$8</f>
        <v>10</v>
      </c>
      <c r="F8">
        <f t="shared" si="0"/>
        <v>5</v>
      </c>
      <c r="G8" t="str">
        <f t="shared" si="1"/>
        <v>Moderated</v>
      </c>
      <c r="H8" s="6">
        <v>0.6</v>
      </c>
      <c r="J8" s="6"/>
    </row>
    <row r="9" spans="1:10">
      <c r="A9" s="110"/>
      <c r="B9" s="7" t="s">
        <v>48</v>
      </c>
      <c r="C9" s="8">
        <v>10</v>
      </c>
      <c r="D9" s="5">
        <f>'Analysis-Tabular'!$C$8</f>
        <v>10</v>
      </c>
      <c r="F9">
        <f t="shared" si="0"/>
        <v>5</v>
      </c>
      <c r="G9" t="str">
        <f t="shared" si="1"/>
        <v>Strong</v>
      </c>
      <c r="H9" s="6">
        <v>0.84166666666666701</v>
      </c>
      <c r="J9" s="6"/>
    </row>
    <row r="10" spans="1:10">
      <c r="A10" s="110"/>
      <c r="B10" s="7" t="s">
        <v>54</v>
      </c>
      <c r="C10" s="8">
        <v>2.5</v>
      </c>
      <c r="D10" s="5">
        <f>'Analysis-Tabular'!$C$8</f>
        <v>10</v>
      </c>
      <c r="F10">
        <f t="shared" si="0"/>
        <v>5</v>
      </c>
      <c r="G10" t="str">
        <f t="shared" si="1"/>
        <v>Strong</v>
      </c>
      <c r="H10" s="6">
        <v>0.9</v>
      </c>
      <c r="J10" s="6"/>
    </row>
    <row r="11" spans="1:10">
      <c r="A11" s="110"/>
      <c r="B11" s="7" t="s">
        <v>55</v>
      </c>
      <c r="C11" s="8">
        <v>10</v>
      </c>
      <c r="D11" s="5">
        <f>'Analysis-Tabular'!$C$8</f>
        <v>10</v>
      </c>
      <c r="F11">
        <f t="shared" si="0"/>
        <v>5</v>
      </c>
      <c r="G11" t="str">
        <f t="shared" si="1"/>
        <v>Strong</v>
      </c>
      <c r="H11" s="6">
        <v>0.97633333333333305</v>
      </c>
      <c r="J11" s="6"/>
    </row>
    <row r="12" spans="1:10">
      <c r="A12" s="110"/>
      <c r="B12" s="7" t="s">
        <v>56</v>
      </c>
      <c r="C12" s="8">
        <v>15</v>
      </c>
      <c r="D12" s="5">
        <f>'Analysis-Tabular'!$C$8</f>
        <v>10</v>
      </c>
      <c r="F12">
        <f t="shared" si="0"/>
        <v>5</v>
      </c>
      <c r="G12" t="str">
        <f t="shared" si="1"/>
        <v>Strong</v>
      </c>
      <c r="H12" s="6">
        <v>0.844444444444444</v>
      </c>
      <c r="J12" s="6"/>
    </row>
    <row r="13" spans="1:10">
      <c r="A13" s="110"/>
      <c r="B13" s="7" t="s">
        <v>57</v>
      </c>
      <c r="C13" s="8">
        <v>5</v>
      </c>
      <c r="D13" s="5">
        <f>'Analysis-Tabular'!$C$8</f>
        <v>10</v>
      </c>
      <c r="F13">
        <f t="shared" si="0"/>
        <v>5</v>
      </c>
      <c r="G13" t="str">
        <f t="shared" si="1"/>
        <v>Strong</v>
      </c>
      <c r="H13" s="6">
        <v>0.81666666666666698</v>
      </c>
      <c r="J13" s="6"/>
    </row>
    <row r="14" spans="1:10">
      <c r="A14" s="110"/>
      <c r="B14" s="7" t="s">
        <v>58</v>
      </c>
      <c r="C14" s="8">
        <v>5</v>
      </c>
      <c r="D14" s="5">
        <f>'Analysis-Tabular'!$C$8</f>
        <v>10</v>
      </c>
      <c r="F14">
        <f t="shared" si="0"/>
        <v>5</v>
      </c>
      <c r="G14" t="str">
        <f t="shared" si="1"/>
        <v>Strong</v>
      </c>
      <c r="H14" s="6">
        <v>0.9</v>
      </c>
      <c r="J14" s="6"/>
    </row>
    <row r="15" spans="1:10">
      <c r="A15" s="110"/>
      <c r="B15" s="7" t="s">
        <v>59</v>
      </c>
      <c r="C15" s="8">
        <v>5</v>
      </c>
      <c r="D15" s="5">
        <f>'Analysis-Tabular'!$C$8</f>
        <v>10</v>
      </c>
      <c r="F15">
        <f t="shared" si="0"/>
        <v>5</v>
      </c>
      <c r="G15" t="str">
        <f t="shared" si="1"/>
        <v>Strong</v>
      </c>
      <c r="H15" s="6">
        <v>0.98333333333333295</v>
      </c>
      <c r="J15" s="6"/>
    </row>
    <row r="16" spans="1:10">
      <c r="A16" s="110"/>
      <c r="B16" s="7" t="s">
        <v>60</v>
      </c>
      <c r="C16" s="8">
        <v>10</v>
      </c>
      <c r="D16" s="5">
        <f>'Analysis-Tabular'!$C$8</f>
        <v>10</v>
      </c>
      <c r="F16">
        <f t="shared" si="0"/>
        <v>5</v>
      </c>
      <c r="G16" t="str">
        <f t="shared" si="1"/>
        <v>Strong</v>
      </c>
      <c r="H16" s="6">
        <v>1</v>
      </c>
      <c r="J16" s="6"/>
    </row>
    <row r="17" spans="1:10">
      <c r="A17" s="110"/>
      <c r="B17" s="7" t="s">
        <v>61</v>
      </c>
      <c r="C17" s="8">
        <v>10</v>
      </c>
      <c r="D17" s="5">
        <f>'Analysis-Tabular'!$C$8</f>
        <v>10</v>
      </c>
      <c r="F17">
        <f t="shared" si="0"/>
        <v>5</v>
      </c>
      <c r="G17" t="str">
        <f t="shared" si="1"/>
        <v>Strong</v>
      </c>
      <c r="H17" s="6">
        <v>0.90833333333333299</v>
      </c>
      <c r="J17" s="6"/>
    </row>
    <row r="18" spans="1:10">
      <c r="A18" s="110"/>
      <c r="B18" s="7" t="s">
        <v>62</v>
      </c>
      <c r="C18" s="8">
        <v>5</v>
      </c>
      <c r="D18" s="5">
        <f>'Analysis-Tabular'!$C$8</f>
        <v>10</v>
      </c>
      <c r="F18">
        <f t="shared" si="0"/>
        <v>5</v>
      </c>
      <c r="G18" t="str">
        <f t="shared" si="1"/>
        <v>Strong</v>
      </c>
      <c r="H18" s="6">
        <v>0.9</v>
      </c>
      <c r="J18" s="6"/>
    </row>
    <row r="19" spans="1:10">
      <c r="A19" s="110"/>
      <c r="B19" s="7" t="s">
        <v>63</v>
      </c>
      <c r="C19" s="8">
        <v>5</v>
      </c>
      <c r="D19" s="5">
        <f>'Analysis-Tabular'!$C$8</f>
        <v>10</v>
      </c>
      <c r="F19">
        <f t="shared" si="0"/>
        <v>5</v>
      </c>
      <c r="G19" t="str">
        <f t="shared" si="1"/>
        <v>Strong</v>
      </c>
      <c r="H19" s="6">
        <v>0.95</v>
      </c>
      <c r="J19" s="6"/>
    </row>
    <row r="20" spans="1:10">
      <c r="A20" s="111" t="s">
        <v>65</v>
      </c>
      <c r="B20" s="7" t="s">
        <v>50</v>
      </c>
      <c r="C20" s="8">
        <v>10</v>
      </c>
      <c r="D20" s="5">
        <f>'Analysis-Tabular'!$C$8</f>
        <v>10</v>
      </c>
      <c r="F20">
        <f t="shared" si="0"/>
        <v>5</v>
      </c>
      <c r="G20" t="str">
        <f t="shared" si="1"/>
        <v>Strong</v>
      </c>
      <c r="H20" s="6">
        <v>0.93333333333333302</v>
      </c>
      <c r="J20" s="6"/>
    </row>
    <row r="21" spans="1:10">
      <c r="A21" s="110"/>
      <c r="B21" s="7" t="s">
        <v>51</v>
      </c>
      <c r="C21" s="8">
        <v>5</v>
      </c>
      <c r="D21" s="5">
        <f>'Analysis-Tabular'!$C$8</f>
        <v>10</v>
      </c>
      <c r="F21">
        <f t="shared" si="0"/>
        <v>5</v>
      </c>
      <c r="G21" t="str">
        <f t="shared" si="1"/>
        <v>Strong</v>
      </c>
      <c r="H21" s="6">
        <v>1</v>
      </c>
      <c r="J21" s="6"/>
    </row>
    <row r="22" spans="1:10">
      <c r="A22" s="110"/>
      <c r="B22" s="7" t="s">
        <v>46</v>
      </c>
      <c r="C22" s="8">
        <v>5</v>
      </c>
      <c r="D22" s="5">
        <f>'Analysis-Tabular'!$C$8</f>
        <v>10</v>
      </c>
      <c r="F22">
        <f t="shared" si="0"/>
        <v>5</v>
      </c>
      <c r="G22" t="str">
        <f t="shared" si="1"/>
        <v>Strong</v>
      </c>
      <c r="H22" s="6">
        <v>0.95</v>
      </c>
      <c r="J22" s="6"/>
    </row>
    <row r="23" spans="1:10">
      <c r="A23" s="110"/>
      <c r="B23" s="7" t="s">
        <v>52</v>
      </c>
      <c r="C23" s="8">
        <v>5</v>
      </c>
      <c r="D23" s="5">
        <f>'Analysis-Tabular'!$C$8</f>
        <v>10</v>
      </c>
      <c r="F23">
        <f t="shared" si="0"/>
        <v>5</v>
      </c>
      <c r="G23" t="str">
        <f t="shared" si="1"/>
        <v>Strong</v>
      </c>
      <c r="H23" s="6">
        <v>1</v>
      </c>
      <c r="J23" s="6"/>
    </row>
    <row r="24" spans="1:10">
      <c r="A24" s="110"/>
      <c r="B24" s="7" t="s">
        <v>53</v>
      </c>
      <c r="C24" s="8">
        <v>5</v>
      </c>
      <c r="D24" s="5">
        <f>'Analysis-Tabular'!$C$8</f>
        <v>10</v>
      </c>
      <c r="F24">
        <f t="shared" si="0"/>
        <v>5</v>
      </c>
      <c r="G24" t="str">
        <f t="shared" si="1"/>
        <v>Strong</v>
      </c>
      <c r="H24" s="6">
        <v>1</v>
      </c>
      <c r="J24" s="6"/>
    </row>
    <row r="25" spans="1:10">
      <c r="A25" s="110"/>
      <c r="B25" s="7" t="s">
        <v>47</v>
      </c>
      <c r="C25" s="8">
        <v>2.5</v>
      </c>
      <c r="D25" s="5">
        <f>'Analysis-Tabular'!$C$8</f>
        <v>10</v>
      </c>
      <c r="F25">
        <f t="shared" si="0"/>
        <v>5</v>
      </c>
      <c r="G25" t="str">
        <f t="shared" si="1"/>
        <v>Strong</v>
      </c>
      <c r="H25" s="6">
        <v>0.96666666666666701</v>
      </c>
      <c r="J25" s="6"/>
    </row>
    <row r="26" spans="1:10" hidden="1">
      <c r="A26" s="110"/>
      <c r="B26" s="7" t="s">
        <v>48</v>
      </c>
      <c r="C26" s="8">
        <v>2.5</v>
      </c>
      <c r="D26" s="5">
        <f>'Analysis-Tabular'!$C$8</f>
        <v>10</v>
      </c>
      <c r="F26">
        <f t="shared" si="0"/>
        <v>5</v>
      </c>
      <c r="G26" t="str">
        <f t="shared" si="1"/>
        <v>Moderated</v>
      </c>
      <c r="H26" s="6">
        <v>0.66666666666666696</v>
      </c>
      <c r="J26" s="6"/>
    </row>
    <row r="27" spans="1:10">
      <c r="A27" s="110"/>
      <c r="B27" s="7" t="s">
        <v>54</v>
      </c>
      <c r="C27" s="8">
        <v>2.5</v>
      </c>
      <c r="D27" s="5">
        <f>'Analysis-Tabular'!$C$8</f>
        <v>10</v>
      </c>
      <c r="F27">
        <f t="shared" si="0"/>
        <v>5</v>
      </c>
      <c r="G27" t="str">
        <f t="shared" si="1"/>
        <v>Strong</v>
      </c>
      <c r="H27" s="6">
        <v>0.93333333333333302</v>
      </c>
      <c r="J27" s="6"/>
    </row>
    <row r="28" spans="1:10">
      <c r="A28" s="110"/>
      <c r="B28" s="7" t="s">
        <v>55</v>
      </c>
      <c r="C28" s="8">
        <v>2.5</v>
      </c>
      <c r="D28" s="5">
        <f>'Analysis-Tabular'!$C$8</f>
        <v>10</v>
      </c>
      <c r="F28">
        <f t="shared" si="0"/>
        <v>5</v>
      </c>
      <c r="G28" t="str">
        <f t="shared" si="1"/>
        <v>Strong</v>
      </c>
      <c r="H28" s="6">
        <v>1</v>
      </c>
      <c r="J28" s="6"/>
    </row>
    <row r="29" spans="1:10">
      <c r="A29" s="111" t="s">
        <v>66</v>
      </c>
      <c r="B29" s="7" t="s">
        <v>50</v>
      </c>
      <c r="C29" s="8">
        <v>10</v>
      </c>
      <c r="D29" s="5">
        <f>'Analysis-Tabular'!$C$8</f>
        <v>10</v>
      </c>
      <c r="F29">
        <f t="shared" si="0"/>
        <v>5</v>
      </c>
      <c r="G29" t="str">
        <f t="shared" si="1"/>
        <v>Strong</v>
      </c>
      <c r="H29" s="6">
        <v>0.95833333333333304</v>
      </c>
      <c r="J29" s="6"/>
    </row>
    <row r="30" spans="1:10">
      <c r="A30" s="110"/>
      <c r="B30" s="7" t="s">
        <v>51</v>
      </c>
      <c r="C30" s="8">
        <v>5</v>
      </c>
      <c r="D30" s="5">
        <f>'Analysis-Tabular'!$C$8</f>
        <v>10</v>
      </c>
      <c r="F30">
        <f t="shared" si="0"/>
        <v>5</v>
      </c>
      <c r="G30" t="str">
        <f t="shared" si="1"/>
        <v>Strong</v>
      </c>
      <c r="H30" s="6">
        <v>0.9</v>
      </c>
      <c r="J30" s="6"/>
    </row>
    <row r="31" spans="1:10">
      <c r="A31" s="110"/>
      <c r="B31" s="7" t="s">
        <v>46</v>
      </c>
      <c r="C31" s="8">
        <v>10</v>
      </c>
      <c r="D31" s="5">
        <f>'Analysis-Tabular'!$C$8</f>
        <v>10</v>
      </c>
      <c r="F31">
        <f t="shared" si="0"/>
        <v>5</v>
      </c>
      <c r="G31" t="str">
        <f t="shared" si="1"/>
        <v>Strong</v>
      </c>
      <c r="H31" s="6">
        <v>1</v>
      </c>
      <c r="J31" s="6"/>
    </row>
    <row r="32" spans="1:10">
      <c r="A32" s="110"/>
      <c r="B32" s="7" t="s">
        <v>52</v>
      </c>
      <c r="C32" s="8">
        <v>5</v>
      </c>
      <c r="D32" s="5">
        <f>'Analysis-Tabular'!$C$8</f>
        <v>10</v>
      </c>
      <c r="F32">
        <f t="shared" si="0"/>
        <v>5</v>
      </c>
      <c r="G32" t="str">
        <f t="shared" si="1"/>
        <v>Strong</v>
      </c>
      <c r="H32" s="6">
        <v>0.78333333333333299</v>
      </c>
      <c r="J32" s="6"/>
    </row>
    <row r="33" spans="1:10">
      <c r="A33" s="110"/>
      <c r="B33" s="7" t="s">
        <v>53</v>
      </c>
      <c r="C33" s="8">
        <v>5</v>
      </c>
      <c r="D33" s="5">
        <f>'Analysis-Tabular'!$C$8</f>
        <v>10</v>
      </c>
      <c r="F33">
        <f t="shared" si="0"/>
        <v>5</v>
      </c>
      <c r="G33" t="str">
        <f t="shared" si="1"/>
        <v>Strong</v>
      </c>
      <c r="H33" s="6">
        <v>0.96666666666666701</v>
      </c>
      <c r="J33" s="6"/>
    </row>
    <row r="34" spans="1:10">
      <c r="A34" s="110"/>
      <c r="B34" s="7" t="s">
        <v>47</v>
      </c>
      <c r="C34" s="8">
        <v>2.5</v>
      </c>
      <c r="D34" s="5">
        <f>'Analysis-Tabular'!$C$8</f>
        <v>10</v>
      </c>
      <c r="F34">
        <f t="shared" si="0"/>
        <v>5</v>
      </c>
      <c r="G34" t="str">
        <f t="shared" si="1"/>
        <v>Strong</v>
      </c>
      <c r="H34" s="6">
        <v>0.9</v>
      </c>
      <c r="J34" s="6"/>
    </row>
    <row r="35" spans="1:10">
      <c r="A35" s="110"/>
      <c r="B35" s="7" t="s">
        <v>48</v>
      </c>
      <c r="C35" s="8">
        <v>2.5</v>
      </c>
      <c r="D35" s="5">
        <f>'Analysis-Tabular'!$C$8</f>
        <v>10</v>
      </c>
      <c r="F35">
        <f t="shared" si="0"/>
        <v>5</v>
      </c>
      <c r="G35" t="str">
        <f t="shared" si="1"/>
        <v>Strong</v>
      </c>
      <c r="H35" s="6">
        <v>0.93333333333333302</v>
      </c>
      <c r="J35" s="6"/>
    </row>
  </sheetData>
  <autoFilter ref="A2:H35" xr:uid="{00000000-0009-0000-0000-000004000000}">
    <filterColumn colId="6">
      <filters>
        <filter val="Strong"/>
      </filters>
    </filterColumn>
  </autoFilter>
  <mergeCells count="3">
    <mergeCell ref="A3:A19"/>
    <mergeCell ref="A20:A28"/>
    <mergeCell ref="A29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Analysis-Tabular</vt:lpstr>
      <vt:lpstr>Analysis - Graph</vt:lpstr>
      <vt:lpstr>PC-Wise Mean Med</vt:lpstr>
      <vt:lpstr>PC-Wise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Sanchit-NSDC</dc:creator>
  <cp:lastModifiedBy>admin</cp:lastModifiedBy>
  <dcterms:created xsi:type="dcterms:W3CDTF">2015-09-13T07:22:00Z</dcterms:created>
  <dcterms:modified xsi:type="dcterms:W3CDTF">2026-06-17T10:44:35Z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